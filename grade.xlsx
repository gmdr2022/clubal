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ivo\Documents\GitHub\clubal\"/>
    </mc:Choice>
  </mc:AlternateContent>
  <xr:revisionPtr revIDLastSave="0" documentId="13_ncr:1_{6F8AC58B-4057-4A83-BC40-046A4FDE9636}" xr6:coauthVersionLast="47" xr6:coauthVersionMax="47" xr10:uidLastSave="{00000000-0000-0000-0000-000000000000}"/>
  <bookViews>
    <workbookView xWindow="-120" yWindow="-120" windowWidth="24240" windowHeight="13140" activeTab="4" xr2:uid="{00000000-000D-0000-FFFF-FFFF00000000}"/>
  </bookViews>
  <sheets>
    <sheet name="Coletivas" sheetId="3" r:id="rId1"/>
    <sheet name="Aquaticos" sheetId="7" r:id="rId2"/>
    <sheet name="Nao_Aquaticos" sheetId="8" r:id="rId3"/>
    <sheet name="Vagas" sheetId="9" r:id="rId4"/>
    <sheet name="CLUBAL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6" i="2" l="1"/>
  <c r="A27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7" i="2"/>
  <c r="A8" i="2"/>
  <c r="A9" i="2"/>
  <c r="A10" i="2"/>
  <c r="A11" i="2"/>
  <c r="A6" i="2"/>
  <c r="A5" i="2"/>
  <c r="A2" i="2"/>
  <c r="A3" i="2"/>
  <c r="A4" i="2"/>
</calcChain>
</file>

<file path=xl/sharedStrings.xml><?xml version="1.0" encoding="utf-8"?>
<sst xmlns="http://schemas.openxmlformats.org/spreadsheetml/2006/main" count="312" uniqueCount="110">
  <si>
    <t>AULAS COLETIVAS</t>
  </si>
  <si>
    <t>AULAS</t>
  </si>
  <si>
    <t>SEGUNDA</t>
  </si>
  <si>
    <t>TERÇA</t>
  </si>
  <si>
    <t>QUARTA</t>
  </si>
  <si>
    <t>QUINTA</t>
  </si>
  <si>
    <t>SEXTA</t>
  </si>
  <si>
    <t>ALONGAMENTO</t>
  </si>
  <si>
    <t>STEP</t>
  </si>
  <si>
    <t>FUNCIONAL</t>
  </si>
  <si>
    <t>JUMP</t>
  </si>
  <si>
    <t>CARDIOBOX</t>
  </si>
  <si>
    <t>CIRCUITO FIT</t>
  </si>
  <si>
    <t>RITMOS</t>
  </si>
  <si>
    <t>HIDROGINÁSTICA</t>
  </si>
  <si>
    <t>MOBILIDADE</t>
  </si>
  <si>
    <t>SPINNING</t>
  </si>
  <si>
    <t>* Faixa etária a partir de 15 anos</t>
  </si>
  <si>
    <t>* Necessidade de Check-in para participação nas aulas</t>
  </si>
  <si>
    <t>V.1  - JANEIRO 2026</t>
  </si>
  <si>
    <t>ESCOLA DE ESPORTES</t>
  </si>
  <si>
    <t>Esportes Aquáticos</t>
  </si>
  <si>
    <t>NATAÇÃO - NIVEL 1 INICIAÇÃO</t>
  </si>
  <si>
    <t>MODALIDADE</t>
  </si>
  <si>
    <t>FAIXA ETÁRIA</t>
  </si>
  <si>
    <t>06 e 07 anos</t>
  </si>
  <si>
    <t>08 e 09 anos</t>
  </si>
  <si>
    <t>09 e 10 anos</t>
  </si>
  <si>
    <t>11 a 14 anos</t>
  </si>
  <si>
    <t>A partir de 15 anos</t>
  </si>
  <si>
    <r>
      <t xml:space="preserve">NATAÇÃO - TREINO LIVRE
</t>
    </r>
    <r>
      <rPr>
        <b/>
        <i/>
        <sz val="11"/>
        <color theme="1"/>
        <rFont val="Calibri"/>
        <family val="2"/>
        <scheme val="minor"/>
      </rPr>
      <t>Necessidade de check-in para participação</t>
    </r>
  </si>
  <si>
    <t>NATAÇÃO - NIVEL 2 QUALIFICAÇÃO</t>
  </si>
  <si>
    <t>T1 - 10:15</t>
  </si>
  <si>
    <t>NATAÇÃO - NIVEL 3 APERFEIÇOAMENTO</t>
  </si>
  <si>
    <t>T2 - 10:15</t>
  </si>
  <si>
    <t>SÁBADO</t>
  </si>
  <si>
    <t>Dia único - 10:00 às 11:15</t>
  </si>
  <si>
    <t>Dia único - 08:45 às 10:00</t>
  </si>
  <si>
    <t>Esportes Não Aquáticos</t>
  </si>
  <si>
    <t>MODALIDADES</t>
  </si>
  <si>
    <t>PSICOMOTRICIDADE</t>
  </si>
  <si>
    <t>FUNCIONAL TEEN</t>
  </si>
  <si>
    <t>VOLEIBOL</t>
  </si>
  <si>
    <t>MULTIESPORTIVO</t>
  </si>
  <si>
    <t>FUTSAL</t>
  </si>
  <si>
    <r>
      <t xml:space="preserve">GINÁSTICA ARTÍSTICA
</t>
    </r>
    <r>
      <rPr>
        <b/>
        <sz val="11"/>
        <color theme="1"/>
        <rFont val="Calibri"/>
        <family val="2"/>
        <scheme val="minor"/>
      </rPr>
      <t>(1 aula p/ semana)</t>
    </r>
  </si>
  <si>
    <t>04 e 05 anos</t>
  </si>
  <si>
    <t>11 a 16 anos</t>
  </si>
  <si>
    <t>05 a 07 anos</t>
  </si>
  <si>
    <t>08 a 10 anos</t>
  </si>
  <si>
    <t>11 a 13 anos</t>
  </si>
  <si>
    <t>14 a 17 anos</t>
  </si>
  <si>
    <t>T1 - 17:40</t>
  </si>
  <si>
    <t>T1 - 18:30</t>
  </si>
  <si>
    <t>T1 - 19:20</t>
  </si>
  <si>
    <t>T1 - 09:00</t>
  </si>
  <si>
    <t>T2 - 17:30</t>
  </si>
  <si>
    <t>T1 - 09:15</t>
  </si>
  <si>
    <t>T2 - 18:00</t>
  </si>
  <si>
    <t>T2 - 18:50</t>
  </si>
  <si>
    <t>T2 - 19:40</t>
  </si>
  <si>
    <t>T1 - 09:50</t>
  </si>
  <si>
    <t>T2 - 16:00</t>
  </si>
  <si>
    <t>T2 - 09:50</t>
  </si>
  <si>
    <t>QUADRO DE ATIVIDADES ESPORTIVAS - Nº DE VAGAS</t>
  </si>
  <si>
    <t>ATIVIDADE</t>
  </si>
  <si>
    <t>ESPORTES</t>
  </si>
  <si>
    <t>IDADE</t>
  </si>
  <si>
    <t>DIAS</t>
  </si>
  <si>
    <t>HORÁRIO</t>
  </si>
  <si>
    <t>INSTRUTORES</t>
  </si>
  <si>
    <t>NATAÇÃO</t>
  </si>
  <si>
    <t>GINÁSTICA ARTÍSTICA</t>
  </si>
  <si>
    <t>Nº DE VAGAS
P/ TURMA</t>
  </si>
  <si>
    <t>Nível I (06 e 07 anos)</t>
  </si>
  <si>
    <t>Nível I (08 e 09 anos)</t>
  </si>
  <si>
    <t>Nível I (09 e 10 anos)</t>
  </si>
  <si>
    <t>Nível I (11 a 14 anos)</t>
  </si>
  <si>
    <t>Nível I (15+ anos)</t>
  </si>
  <si>
    <t>Nível II (09 e 10 anos)</t>
  </si>
  <si>
    <t>Nível II (11 a 14 anos)</t>
  </si>
  <si>
    <t>Nível II (15+ anos)</t>
  </si>
  <si>
    <t>Treino Livre</t>
  </si>
  <si>
    <t>Nível III (11 a 14 anos)</t>
  </si>
  <si>
    <t>Nível III (15+ anos)</t>
  </si>
  <si>
    <t>3ª e 5ª</t>
  </si>
  <si>
    <t>4ª e 6ª</t>
  </si>
  <si>
    <t>2ª e 4ª</t>
  </si>
  <si>
    <t>4ª</t>
  </si>
  <si>
    <t>6ª</t>
  </si>
  <si>
    <t>DRIÉLE</t>
  </si>
  <si>
    <t>MAYCON</t>
  </si>
  <si>
    <t>PATRICK</t>
  </si>
  <si>
    <t>JULIANO</t>
  </si>
  <si>
    <t>GUILHERME</t>
  </si>
  <si>
    <t>Carlos</t>
  </si>
  <si>
    <t>GERAL</t>
  </si>
  <si>
    <t>DIA</t>
  </si>
  <si>
    <t>INICIO</t>
  </si>
  <si>
    <t>FIM</t>
  </si>
  <si>
    <t>PROFESSOR</t>
  </si>
  <si>
    <t>TAG</t>
  </si>
  <si>
    <t>Ana</t>
  </si>
  <si>
    <t>Yasmin</t>
  </si>
  <si>
    <t>Amanda</t>
  </si>
  <si>
    <t>MENOR</t>
  </si>
  <si>
    <t>Natação</t>
  </si>
  <si>
    <t>Funcional Teen</t>
  </si>
  <si>
    <t>Ginástica Artística</t>
  </si>
  <si>
    <t>Voleibol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</si>
</sst>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i/>
      <sz val="18"/>
      <color theme="9" tint="0.39997558519241921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12"/>
      <color theme="0" tint="-0.1499984740745262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0" fillId="0" borderId="0" xfId="0" applyNumberFormat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20" fontId="5" fillId="2" borderId="6" xfId="0" applyNumberFormat="1" applyFont="1" applyFill="1" applyBorder="1" applyAlignment="1">
      <alignment horizontal="center" vertical="center"/>
    </xf>
    <xf numFmtId="20" fontId="5" fillId="2" borderId="7" xfId="0" applyNumberFormat="1" applyFont="1" applyFill="1" applyBorder="1" applyAlignment="1">
      <alignment horizontal="center" vertical="center"/>
    </xf>
    <xf numFmtId="0" fontId="3" fillId="6" borderId="0" xfId="0" applyFont="1" applyFill="1"/>
    <xf numFmtId="0" fontId="8" fillId="4" borderId="0" xfId="0" applyFont="1" applyFill="1"/>
    <xf numFmtId="0" fontId="0" fillId="5" borderId="0" xfId="0" applyFont="1" applyFill="1"/>
    <xf numFmtId="0" fontId="0" fillId="6" borderId="0" xfId="0" applyFont="1" applyFill="1"/>
    <xf numFmtId="0" fontId="9" fillId="6" borderId="0" xfId="0" applyFont="1" applyFill="1"/>
    <xf numFmtId="20" fontId="5" fillId="2" borderId="6" xfId="0" applyNumberFormat="1" applyFont="1" applyFill="1" applyBorder="1" applyAlignment="1">
      <alignment horizontal="center" vertical="center"/>
    </xf>
    <xf numFmtId="20" fontId="5" fillId="2" borderId="1" xfId="0" applyNumberFormat="1" applyFont="1" applyFill="1" applyBorder="1" applyAlignment="1">
      <alignment horizontal="center" vertical="center"/>
    </xf>
    <xf numFmtId="20" fontId="5" fillId="2" borderId="8" xfId="0" applyNumberFormat="1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4" fillId="3" borderId="33" xfId="0" applyFont="1" applyFill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/>
    </xf>
    <xf numFmtId="20" fontId="5" fillId="7" borderId="3" xfId="0" applyNumberFormat="1" applyFont="1" applyFill="1" applyBorder="1" applyAlignment="1">
      <alignment horizontal="center" vertical="center"/>
    </xf>
    <xf numFmtId="20" fontId="5" fillId="7" borderId="7" xfId="0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20" fontId="5" fillId="7" borderId="6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horizontal="center" vertical="center"/>
    </xf>
    <xf numFmtId="20" fontId="5" fillId="7" borderId="19" xfId="0" applyNumberFormat="1" applyFont="1" applyFill="1" applyBorder="1" applyAlignment="1">
      <alignment horizontal="center" vertical="center"/>
    </xf>
    <xf numFmtId="20" fontId="5" fillId="7" borderId="9" xfId="0" applyNumberFormat="1" applyFont="1" applyFill="1" applyBorder="1" applyAlignment="1">
      <alignment horizontal="center" vertical="center"/>
    </xf>
    <xf numFmtId="20" fontId="5" fillId="7" borderId="8" xfId="0" applyNumberFormat="1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20" fontId="5" fillId="8" borderId="22" xfId="0" applyNumberFormat="1" applyFont="1" applyFill="1" applyBorder="1" applyAlignment="1">
      <alignment horizontal="center" vertical="center"/>
    </xf>
    <xf numFmtId="20" fontId="5" fillId="8" borderId="11" xfId="0" applyNumberFormat="1" applyFont="1" applyFill="1" applyBorder="1" applyAlignment="1">
      <alignment horizontal="center" vertical="center"/>
    </xf>
    <xf numFmtId="20" fontId="5" fillId="8" borderId="4" xfId="0" applyNumberFormat="1" applyFont="1" applyFill="1" applyBorder="1" applyAlignment="1">
      <alignment horizontal="center" vertical="center"/>
    </xf>
    <xf numFmtId="20" fontId="5" fillId="8" borderId="5" xfId="0" applyNumberFormat="1" applyFont="1" applyFill="1" applyBorder="1" applyAlignment="1">
      <alignment horizontal="center" vertical="center"/>
    </xf>
    <xf numFmtId="20" fontId="5" fillId="8" borderId="6" xfId="0" applyNumberFormat="1" applyFont="1" applyFill="1" applyBorder="1" applyAlignment="1">
      <alignment horizontal="center" vertical="center"/>
    </xf>
    <xf numFmtId="20" fontId="5" fillId="8" borderId="7" xfId="0" applyNumberFormat="1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20" fontId="5" fillId="2" borderId="30" xfId="0" applyNumberFormat="1" applyFont="1" applyFill="1" applyBorder="1" applyAlignment="1">
      <alignment horizontal="center" vertical="center"/>
    </xf>
    <xf numFmtId="20" fontId="5" fillId="9" borderId="6" xfId="0" applyNumberFormat="1" applyFont="1" applyFill="1" applyBorder="1" applyAlignment="1">
      <alignment horizontal="center" vertical="center"/>
    </xf>
    <xf numFmtId="20" fontId="5" fillId="9" borderId="7" xfId="0" applyNumberFormat="1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20" fontId="5" fillId="9" borderId="22" xfId="0" applyNumberFormat="1" applyFont="1" applyFill="1" applyBorder="1" applyAlignment="1">
      <alignment horizontal="center" vertical="center"/>
    </xf>
    <xf numFmtId="20" fontId="5" fillId="9" borderId="11" xfId="0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20" fontId="5" fillId="9" borderId="3" xfId="0" applyNumberFormat="1" applyFont="1" applyFill="1" applyBorder="1" applyAlignment="1">
      <alignment horizontal="center" vertical="center"/>
    </xf>
    <xf numFmtId="0" fontId="5" fillId="9" borderId="34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5" fillId="11" borderId="7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20" fontId="5" fillId="12" borderId="7" xfId="0" applyNumberFormat="1" applyFont="1" applyFill="1" applyBorder="1" applyAlignment="1">
      <alignment horizontal="center" vertical="center"/>
    </xf>
    <xf numFmtId="20" fontId="5" fillId="7" borderId="1" xfId="0" applyNumberFormat="1" applyFont="1" applyFill="1" applyBorder="1" applyAlignment="1">
      <alignment horizontal="center" vertical="center"/>
    </xf>
    <xf numFmtId="20" fontId="5" fillId="11" borderId="1" xfId="0" applyNumberFormat="1" applyFont="1" applyFill="1" applyBorder="1" applyAlignment="1">
      <alignment horizontal="center" vertical="center"/>
    </xf>
    <xf numFmtId="20" fontId="5" fillId="12" borderId="1" xfId="0" applyNumberFormat="1" applyFont="1" applyFill="1" applyBorder="1" applyAlignment="1">
      <alignment horizontal="center" vertical="center"/>
    </xf>
    <xf numFmtId="20" fontId="5" fillId="10" borderId="1" xfId="0" applyNumberFormat="1" applyFont="1" applyFill="1" applyBorder="1" applyAlignment="1">
      <alignment horizontal="center" vertical="center"/>
    </xf>
    <xf numFmtId="0" fontId="5" fillId="12" borderId="1" xfId="0" applyNumberFormat="1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 wrapText="1"/>
    </xf>
    <xf numFmtId="20" fontId="5" fillId="2" borderId="21" xfId="0" applyNumberFormat="1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20" fontId="5" fillId="7" borderId="39" xfId="0" applyNumberFormat="1" applyFont="1" applyFill="1" applyBorder="1" applyAlignment="1">
      <alignment horizontal="center" vertical="center"/>
    </xf>
    <xf numFmtId="20" fontId="5" fillId="7" borderId="21" xfId="0" applyNumberFormat="1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20" fontId="5" fillId="7" borderId="20" xfId="0" applyNumberFormat="1" applyFont="1" applyFill="1" applyBorder="1" applyAlignment="1">
      <alignment horizontal="center" vertical="center"/>
    </xf>
    <xf numFmtId="0" fontId="5" fillId="7" borderId="38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20" fontId="5" fillId="11" borderId="39" xfId="0" applyNumberFormat="1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/>
    </xf>
    <xf numFmtId="20" fontId="5" fillId="11" borderId="21" xfId="0" applyNumberFormat="1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20" fontId="5" fillId="12" borderId="39" xfId="0" applyNumberFormat="1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5" fillId="12" borderId="8" xfId="0" applyFont="1" applyFill="1" applyBorder="1" applyAlignment="1">
      <alignment horizontal="center" vertical="center"/>
    </xf>
    <xf numFmtId="20" fontId="5" fillId="12" borderId="21" xfId="0" applyNumberFormat="1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20" fontId="5" fillId="10" borderId="39" xfId="0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/>
    </xf>
    <xf numFmtId="20" fontId="5" fillId="10" borderId="21" xfId="0" applyNumberFormat="1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11" borderId="39" xfId="0" applyNumberFormat="1" applyFont="1" applyFill="1" applyBorder="1" applyAlignment="1">
      <alignment horizontal="center" vertical="center"/>
    </xf>
    <xf numFmtId="20" fontId="5" fillId="11" borderId="5" xfId="0" applyNumberFormat="1" applyFont="1" applyFill="1" applyBorder="1" applyAlignment="1">
      <alignment horizontal="center" vertical="center"/>
    </xf>
    <xf numFmtId="0" fontId="5" fillId="11" borderId="21" xfId="0" applyNumberFormat="1" applyFont="1" applyFill="1" applyBorder="1" applyAlignment="1">
      <alignment horizontal="center" vertical="center"/>
    </xf>
    <xf numFmtId="20" fontId="5" fillId="11" borderId="9" xfId="0" applyNumberFormat="1" applyFont="1" applyFill="1" applyBorder="1" applyAlignment="1">
      <alignment horizontal="center" vertical="center"/>
    </xf>
    <xf numFmtId="20" fontId="5" fillId="7" borderId="4" xfId="0" applyNumberFormat="1" applyFont="1" applyFill="1" applyBorder="1" applyAlignment="1">
      <alignment horizontal="center" vertical="center"/>
    </xf>
    <xf numFmtId="20" fontId="5" fillId="7" borderId="5" xfId="0" applyNumberFormat="1" applyFont="1" applyFill="1" applyBorder="1" applyAlignment="1">
      <alignment horizontal="center" vertical="center"/>
    </xf>
    <xf numFmtId="20" fontId="5" fillId="2" borderId="4" xfId="0" applyNumberFormat="1" applyFont="1" applyFill="1" applyBorder="1" applyAlignment="1">
      <alignment horizontal="center" vertical="center"/>
    </xf>
    <xf numFmtId="20" fontId="5" fillId="2" borderId="39" xfId="0" applyNumberFormat="1" applyFont="1" applyFill="1" applyBorder="1" applyAlignment="1">
      <alignment horizontal="center" vertical="center"/>
    </xf>
    <xf numFmtId="20" fontId="5" fillId="2" borderId="43" xfId="0" applyNumberFormat="1" applyFont="1" applyFill="1" applyBorder="1" applyAlignment="1">
      <alignment horizontal="center" vertical="center"/>
    </xf>
    <xf numFmtId="20" fontId="5" fillId="2" borderId="41" xfId="0" applyNumberFormat="1" applyFont="1" applyFill="1" applyBorder="1" applyAlignment="1">
      <alignment horizontal="center" vertical="center"/>
    </xf>
    <xf numFmtId="0" fontId="5" fillId="2" borderId="41" xfId="0" applyNumberFormat="1" applyFont="1" applyFill="1" applyBorder="1" applyAlignment="1">
      <alignment horizontal="center" vertical="center"/>
    </xf>
    <xf numFmtId="20" fontId="5" fillId="7" borderId="24" xfId="0" applyNumberFormat="1" applyFont="1" applyFill="1" applyBorder="1" applyAlignment="1">
      <alignment horizontal="center" vertical="center"/>
    </xf>
    <xf numFmtId="20" fontId="5" fillId="7" borderId="25" xfId="0" applyNumberFormat="1" applyFont="1" applyFill="1" applyBorder="1" applyAlignment="1">
      <alignment horizontal="center" vertical="center"/>
    </xf>
    <xf numFmtId="0" fontId="5" fillId="7" borderId="25" xfId="0" applyNumberFormat="1" applyFont="1" applyFill="1" applyBorder="1" applyAlignment="1">
      <alignment horizontal="center" vertical="center"/>
    </xf>
    <xf numFmtId="20" fontId="5" fillId="7" borderId="2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NumberFormat="1" applyFont="1" applyAlignment="1">
      <alignment horizontal="center" vertical="center" wrapText="1"/>
    </xf>
    <xf numFmtId="20" fontId="0" fillId="0" borderId="0" xfId="0" applyNumberFormat="1" applyAlignment="1">
      <alignment horizontal="center"/>
    </xf>
    <xf numFmtId="0" fontId="4" fillId="3" borderId="24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20" fontId="5" fillId="2" borderId="10" xfId="0" applyNumberFormat="1" applyFont="1" applyFill="1" applyBorder="1" applyAlignment="1">
      <alignment horizontal="center" vertical="center"/>
    </xf>
    <xf numFmtId="20" fontId="5" fillId="2" borderId="30" xfId="0" applyNumberFormat="1" applyFont="1" applyFill="1" applyBorder="1" applyAlignment="1">
      <alignment horizontal="center" vertical="center"/>
    </xf>
    <xf numFmtId="20" fontId="5" fillId="2" borderId="1" xfId="0" applyNumberFormat="1" applyFont="1" applyFill="1" applyBorder="1" applyAlignment="1">
      <alignment horizontal="center" vertical="center"/>
    </xf>
    <xf numFmtId="20" fontId="5" fillId="2" borderId="7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20" fontId="5" fillId="9" borderId="1" xfId="0" applyNumberFormat="1" applyFont="1" applyFill="1" applyBorder="1" applyAlignment="1">
      <alignment horizontal="center" vertical="center"/>
    </xf>
    <xf numFmtId="20" fontId="5" fillId="9" borderId="7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9" borderId="22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20" fontId="5" fillId="2" borderId="28" xfId="0" applyNumberFormat="1" applyFont="1" applyFill="1" applyBorder="1" applyAlignment="1">
      <alignment horizontal="center" vertical="center"/>
    </xf>
    <xf numFmtId="20" fontId="5" fillId="2" borderId="29" xfId="0" applyNumberFormat="1" applyFont="1" applyFill="1" applyBorder="1" applyAlignment="1">
      <alignment horizontal="center" vertical="center"/>
    </xf>
    <xf numFmtId="20" fontId="5" fillId="9" borderId="23" xfId="0" applyNumberFormat="1" applyFont="1" applyFill="1" applyBorder="1" applyAlignment="1">
      <alignment horizontal="center" vertical="center"/>
    </xf>
    <xf numFmtId="20" fontId="5" fillId="9" borderId="11" xfId="0" applyNumberFormat="1" applyFont="1" applyFill="1" applyBorder="1" applyAlignment="1">
      <alignment horizontal="center" vertical="center"/>
    </xf>
    <xf numFmtId="20" fontId="5" fillId="2" borderId="6" xfId="0" applyNumberFormat="1" applyFont="1" applyFill="1" applyBorder="1" applyAlignment="1">
      <alignment horizontal="center" vertical="center"/>
    </xf>
    <xf numFmtId="20" fontId="5" fillId="2" borderId="8" xfId="0" applyNumberFormat="1" applyFont="1" applyFill="1" applyBorder="1" applyAlignment="1">
      <alignment horizontal="center" vertical="center"/>
    </xf>
    <xf numFmtId="20" fontId="5" fillId="2" borderId="9" xfId="0" applyNumberFormat="1" applyFont="1" applyFill="1" applyBorder="1" applyAlignment="1">
      <alignment horizontal="center" vertical="center"/>
    </xf>
    <xf numFmtId="20" fontId="5" fillId="8" borderId="16" xfId="0" applyNumberFormat="1" applyFont="1" applyFill="1" applyBorder="1" applyAlignment="1">
      <alignment horizontal="center" vertical="center"/>
    </xf>
    <xf numFmtId="20" fontId="5" fillId="8" borderId="17" xfId="0" applyNumberFormat="1" applyFont="1" applyFill="1" applyBorder="1" applyAlignment="1">
      <alignment horizontal="center" vertical="center"/>
    </xf>
    <xf numFmtId="20" fontId="5" fillId="9" borderId="16" xfId="0" applyNumberFormat="1" applyFont="1" applyFill="1" applyBorder="1" applyAlignment="1">
      <alignment horizontal="center" vertical="center"/>
    </xf>
    <xf numFmtId="20" fontId="5" fillId="9" borderId="17" xfId="0" applyNumberFormat="1" applyFont="1" applyFill="1" applyBorder="1" applyAlignment="1">
      <alignment horizontal="center" vertical="center"/>
    </xf>
    <xf numFmtId="20" fontId="5" fillId="2" borderId="12" xfId="0" applyNumberFormat="1" applyFont="1" applyFill="1" applyBorder="1" applyAlignment="1">
      <alignment horizontal="center" vertical="center"/>
    </xf>
    <xf numFmtId="20" fontId="5" fillId="2" borderId="13" xfId="0" applyNumberFormat="1" applyFont="1" applyFill="1" applyBorder="1" applyAlignment="1">
      <alignment horizontal="center" vertical="center"/>
    </xf>
    <xf numFmtId="20" fontId="5" fillId="2" borderId="14" xfId="0" applyNumberFormat="1" applyFont="1" applyFill="1" applyBorder="1" applyAlignment="1">
      <alignment horizontal="center" vertical="center"/>
    </xf>
    <xf numFmtId="20" fontId="5" fillId="2" borderId="15" xfId="0" applyNumberFormat="1" applyFont="1" applyFill="1" applyBorder="1" applyAlignment="1">
      <alignment horizontal="center" vertical="center"/>
    </xf>
    <xf numFmtId="20" fontId="5" fillId="2" borderId="16" xfId="0" applyNumberFormat="1" applyFont="1" applyFill="1" applyBorder="1" applyAlignment="1">
      <alignment horizontal="center" vertical="center"/>
    </xf>
    <xf numFmtId="20" fontId="5" fillId="2" borderId="17" xfId="0" applyNumberFormat="1" applyFont="1" applyFill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5" fillId="9" borderId="36" xfId="0" applyFont="1" applyFill="1" applyBorder="1" applyAlignment="1">
      <alignment horizontal="center" vertical="center"/>
    </xf>
    <xf numFmtId="0" fontId="5" fillId="9" borderId="37" xfId="0" applyFont="1" applyFill="1" applyBorder="1" applyAlignment="1">
      <alignment horizontal="center" vertical="center"/>
    </xf>
    <xf numFmtId="0" fontId="5" fillId="7" borderId="36" xfId="0" applyFont="1" applyFill="1" applyBorder="1" applyAlignment="1">
      <alignment horizontal="center" vertical="center"/>
    </xf>
    <xf numFmtId="0" fontId="5" fillId="7" borderId="37" xfId="0" applyFont="1" applyFill="1" applyBorder="1" applyAlignment="1">
      <alignment horizontal="center" vertical="center"/>
    </xf>
    <xf numFmtId="0" fontId="5" fillId="9" borderId="34" xfId="0" applyFont="1" applyFill="1" applyBorder="1" applyAlignment="1">
      <alignment horizontal="center" vertical="center"/>
    </xf>
    <xf numFmtId="0" fontId="5" fillId="9" borderId="34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20" fontId="5" fillId="7" borderId="7" xfId="0" applyNumberFormat="1" applyFont="1" applyFill="1" applyBorder="1" applyAlignment="1">
      <alignment horizontal="center" vertical="center"/>
    </xf>
    <xf numFmtId="20" fontId="5" fillId="7" borderId="9" xfId="0" applyNumberFormat="1" applyFont="1" applyFill="1" applyBorder="1" applyAlignment="1">
      <alignment horizontal="center" vertical="center"/>
    </xf>
    <xf numFmtId="20" fontId="5" fillId="2" borderId="5" xfId="0" applyNumberFormat="1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20" fontId="5" fillId="7" borderId="5" xfId="0" applyNumberFormat="1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5" fillId="7" borderId="39" xfId="0" applyNumberFormat="1" applyFont="1" applyFill="1" applyBorder="1" applyAlignment="1">
      <alignment horizontal="center" vertical="center"/>
    </xf>
    <xf numFmtId="0" fontId="5" fillId="7" borderId="1" xfId="0" applyNumberFormat="1" applyFont="1" applyFill="1" applyBorder="1" applyAlignment="1">
      <alignment horizontal="center" vertical="center"/>
    </xf>
    <xf numFmtId="0" fontId="5" fillId="7" borderId="21" xfId="0" applyNumberFormat="1" applyFont="1" applyFill="1" applyBorder="1" applyAlignment="1">
      <alignment horizontal="center" vertical="center"/>
    </xf>
    <xf numFmtId="0" fontId="5" fillId="2" borderId="39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5" fillId="2" borderId="21" xfId="0" applyNumberFormat="1" applyFont="1" applyFill="1" applyBorder="1" applyAlignment="1">
      <alignment horizontal="center" vertical="center"/>
    </xf>
    <xf numFmtId="0" fontId="5" fillId="11" borderId="39" xfId="0" applyNumberFormat="1" applyFont="1" applyFill="1" applyBorder="1" applyAlignment="1">
      <alignment horizontal="center" vertical="center"/>
    </xf>
    <xf numFmtId="0" fontId="5" fillId="11" borderId="1" xfId="0" applyNumberFormat="1" applyFont="1" applyFill="1" applyBorder="1" applyAlignment="1">
      <alignment horizontal="center" vertical="center"/>
    </xf>
    <xf numFmtId="0" fontId="5" fillId="11" borderId="21" xfId="0" applyNumberFormat="1" applyFont="1" applyFill="1" applyBorder="1" applyAlignment="1">
      <alignment horizontal="center" vertical="center"/>
    </xf>
    <xf numFmtId="0" fontId="5" fillId="12" borderId="39" xfId="0" applyNumberFormat="1" applyFont="1" applyFill="1" applyBorder="1" applyAlignment="1">
      <alignment horizontal="center" vertical="center"/>
    </xf>
    <xf numFmtId="0" fontId="5" fillId="12" borderId="1" xfId="0" applyNumberFormat="1" applyFont="1" applyFill="1" applyBorder="1" applyAlignment="1">
      <alignment horizontal="center" vertical="center"/>
    </xf>
    <xf numFmtId="0" fontId="5" fillId="12" borderId="21" xfId="0" applyNumberFormat="1" applyFont="1" applyFill="1" applyBorder="1" applyAlignment="1">
      <alignment horizontal="center" vertical="center"/>
    </xf>
    <xf numFmtId="0" fontId="5" fillId="10" borderId="39" xfId="0" applyNumberFormat="1" applyFont="1" applyFill="1" applyBorder="1" applyAlignment="1">
      <alignment horizontal="center" vertical="center"/>
    </xf>
    <xf numFmtId="0" fontId="5" fillId="10" borderId="1" xfId="0" applyNumberFormat="1" applyFont="1" applyFill="1" applyBorder="1" applyAlignment="1">
      <alignment horizontal="center" vertical="center"/>
    </xf>
    <xf numFmtId="0" fontId="5" fillId="10" borderId="21" xfId="0" applyNumberFormat="1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 textRotation="90"/>
    </xf>
    <xf numFmtId="0" fontId="4" fillId="4" borderId="42" xfId="0" applyFont="1" applyFill="1" applyBorder="1" applyAlignment="1">
      <alignment horizontal="center" vertical="center" textRotation="90"/>
    </xf>
    <xf numFmtId="20" fontId="5" fillId="7" borderId="33" xfId="0" applyNumberFormat="1" applyFont="1" applyFill="1" applyBorder="1" applyAlignment="1">
      <alignment horizontal="center" vertical="center"/>
    </xf>
    <xf numFmtId="20" fontId="5" fillId="7" borderId="34" xfId="0" applyNumberFormat="1" applyFont="1" applyFill="1" applyBorder="1" applyAlignment="1">
      <alignment horizontal="center" vertical="center"/>
    </xf>
    <xf numFmtId="20" fontId="5" fillId="7" borderId="35" xfId="0" applyNumberFormat="1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5" fillId="7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361950</xdr:colOff>
      <xdr:row>0</xdr:row>
      <xdr:rowOff>104775</xdr:rowOff>
    </xdr:from>
    <xdr:to>
      <xdr:col>11</xdr:col>
      <xdr:colOff>704850</xdr:colOff>
      <xdr:row>2</xdr:row>
      <xdr:rowOff>239732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8042E84-EB72-46F7-AD21-4B55C12ED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68175" y="104775"/>
          <a:ext cx="1543050" cy="658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347383</xdr:colOff>
      <xdr:row>0</xdr:row>
      <xdr:rowOff>78442</xdr:rowOff>
    </xdr:from>
    <xdr:to>
      <xdr:col>13</xdr:col>
      <xdr:colOff>691403</xdr:colOff>
      <xdr:row>2</xdr:row>
      <xdr:rowOff>210598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1CBAA01-EC71-4E8D-BE53-19BA2BDF9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83118" y="78442"/>
          <a:ext cx="1543050" cy="6588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381000</xdr:colOff>
      <xdr:row>0</xdr:row>
      <xdr:rowOff>22412</xdr:rowOff>
    </xdr:from>
    <xdr:to>
      <xdr:col>12</xdr:col>
      <xdr:colOff>725020</xdr:colOff>
      <xdr:row>1</xdr:row>
      <xdr:rowOff>345068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91BDC80-7FF2-459F-9640-FD6812FEC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3088" y="22412"/>
          <a:ext cx="1543050" cy="6588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445915</xdr:colOff>
      <xdr:row>0</xdr:row>
      <xdr:rowOff>100772</xdr:rowOff>
    </xdr:from>
    <xdr:to>
      <xdr:col>8</xdr:col>
      <xdr:colOff>731502</xdr:colOff>
      <xdr:row>2</xdr:row>
      <xdr:rowOff>235729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382F080-F849-4A44-9C33-1A06CAC9A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0022" y="100772"/>
          <a:ext cx="1551052" cy="665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3C72F-FDC7-421A-BED3-07B15680962B}">
  <dimension ref="A1:M19"/>
  <sheetViews>
    <sheetView zoomScaleNormal="100" workbookViewId="0">
      <selection activeCell="B5" sqref="B5"/>
    </sheetView>
  </sheetViews>
  <sheetFormatPr defaultRowHeight="15" x14ac:dyDescent="0.25"/>
  <cols>
    <col min="1" max="1" width="9.140625" style="12"/>
    <col min="2" max="2" width="20.28515625" style="12" customWidth="1"/>
    <col min="3" max="3" width="18.140625" style="12" customWidth="1"/>
    <col min="4" max="4" width="18.28515625" style="12" customWidth="1"/>
    <col min="5" max="6" width="18.140625" style="12" customWidth="1"/>
    <col min="7" max="8" width="18.28515625" style="12" customWidth="1"/>
    <col min="9" max="10" width="18.42578125" style="12" customWidth="1"/>
    <col min="11" max="12" width="18" style="12" customWidth="1"/>
    <col min="13" max="16384" width="9.140625" style="12"/>
  </cols>
  <sheetData>
    <row r="1" spans="1:13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6.25" x14ac:dyDescent="0.25">
      <c r="A2" s="2"/>
      <c r="B2" s="116" t="s">
        <v>0</v>
      </c>
      <c r="C2" s="116"/>
      <c r="D2" s="3"/>
      <c r="E2" s="3"/>
      <c r="F2" s="3"/>
      <c r="G2" s="3"/>
      <c r="H2" s="3"/>
      <c r="I2" s="3"/>
      <c r="J2" s="3"/>
      <c r="K2" s="3"/>
      <c r="L2" s="3"/>
      <c r="M2" s="2"/>
    </row>
    <row r="3" spans="1:13" ht="24" thickBot="1" x14ac:dyDescent="0.3">
      <c r="A3" s="2"/>
      <c r="B3" s="5">
        <v>2026</v>
      </c>
      <c r="C3" s="4"/>
      <c r="D3" s="3"/>
      <c r="E3" s="3"/>
      <c r="F3" s="3"/>
      <c r="G3" s="3"/>
      <c r="H3" s="3"/>
      <c r="I3" s="3"/>
      <c r="J3" s="3"/>
      <c r="K3" s="3"/>
      <c r="L3" s="3"/>
      <c r="M3" s="2"/>
    </row>
    <row r="4" spans="1:13" ht="30" customHeight="1" thickBot="1" x14ac:dyDescent="0.3">
      <c r="A4" s="2"/>
      <c r="B4" s="19" t="s">
        <v>1</v>
      </c>
      <c r="C4" s="113" t="s">
        <v>2</v>
      </c>
      <c r="D4" s="114"/>
      <c r="E4" s="113" t="s">
        <v>3</v>
      </c>
      <c r="F4" s="114"/>
      <c r="G4" s="113" t="s">
        <v>4</v>
      </c>
      <c r="H4" s="114"/>
      <c r="I4" s="113" t="s">
        <v>5</v>
      </c>
      <c r="J4" s="114"/>
      <c r="K4" s="113" t="s">
        <v>6</v>
      </c>
      <c r="L4" s="114"/>
      <c r="M4" s="2"/>
    </row>
    <row r="5" spans="1:13" ht="18.75" x14ac:dyDescent="0.25">
      <c r="A5" s="2"/>
      <c r="B5" s="49" t="s">
        <v>7</v>
      </c>
      <c r="C5" s="50">
        <v>0.33333333333333331</v>
      </c>
      <c r="D5" s="51">
        <v>0.35416666666666669</v>
      </c>
      <c r="E5" s="50">
        <v>0.75</v>
      </c>
      <c r="F5" s="51">
        <v>0.77083333333333337</v>
      </c>
      <c r="G5" s="50">
        <v>0.33333333333333331</v>
      </c>
      <c r="H5" s="51">
        <v>0.35416666666666669</v>
      </c>
      <c r="I5" s="50">
        <v>0.75</v>
      </c>
      <c r="J5" s="51">
        <v>0.77083333333333337</v>
      </c>
      <c r="K5" s="50">
        <v>0.33333333333333331</v>
      </c>
      <c r="L5" s="51">
        <v>0.35416666666666669</v>
      </c>
      <c r="M5" s="2"/>
    </row>
    <row r="6" spans="1:13" ht="18.75" x14ac:dyDescent="0.25">
      <c r="A6" s="2"/>
      <c r="B6" s="35" t="s">
        <v>8</v>
      </c>
      <c r="C6" s="27">
        <v>0.71875</v>
      </c>
      <c r="D6" s="24">
        <v>0.75</v>
      </c>
      <c r="E6" s="27">
        <v>0.77083333333333337</v>
      </c>
      <c r="F6" s="24">
        <v>0.80208333333333337</v>
      </c>
      <c r="G6" s="27">
        <v>0.71875</v>
      </c>
      <c r="H6" s="24">
        <v>0.75</v>
      </c>
      <c r="I6" s="27">
        <v>0.75</v>
      </c>
      <c r="J6" s="24">
        <v>0.77083333333333337</v>
      </c>
      <c r="K6" s="25"/>
      <c r="L6" s="26"/>
      <c r="M6" s="2"/>
    </row>
    <row r="7" spans="1:13" ht="18.75" x14ac:dyDescent="0.25">
      <c r="A7" s="2"/>
      <c r="B7" s="52" t="s">
        <v>9</v>
      </c>
      <c r="C7" s="45">
        <v>0.75694444444444442</v>
      </c>
      <c r="D7" s="46">
        <v>0.78819444444444442</v>
      </c>
      <c r="E7" s="47"/>
      <c r="F7" s="48"/>
      <c r="G7" s="45">
        <v>0.75694444444444442</v>
      </c>
      <c r="H7" s="46">
        <v>0.78819444444444442</v>
      </c>
      <c r="I7" s="45">
        <v>0.77083333333333337</v>
      </c>
      <c r="J7" s="46">
        <v>0.80208333333333337</v>
      </c>
      <c r="K7" s="47"/>
      <c r="L7" s="48"/>
      <c r="M7" s="2"/>
    </row>
    <row r="8" spans="1:13" ht="18.75" x14ac:dyDescent="0.25">
      <c r="A8" s="2"/>
      <c r="B8" s="35" t="s">
        <v>10</v>
      </c>
      <c r="C8" s="27">
        <v>0.76041666666666663</v>
      </c>
      <c r="D8" s="24">
        <v>0.79166666666666663</v>
      </c>
      <c r="E8" s="25"/>
      <c r="F8" s="26"/>
      <c r="G8" s="27">
        <v>0.76041666666666663</v>
      </c>
      <c r="H8" s="24">
        <v>0.79166666666666663</v>
      </c>
      <c r="I8" s="25"/>
      <c r="J8" s="26"/>
      <c r="K8" s="25"/>
      <c r="L8" s="26"/>
      <c r="M8" s="10"/>
    </row>
    <row r="9" spans="1:13" ht="18.75" x14ac:dyDescent="0.25">
      <c r="A9" s="2"/>
      <c r="B9" s="52" t="s">
        <v>11</v>
      </c>
      <c r="C9" s="45">
        <v>0.79166666666666663</v>
      </c>
      <c r="D9" s="46">
        <v>0.82291666666666663</v>
      </c>
      <c r="E9" s="47"/>
      <c r="F9" s="48"/>
      <c r="G9" s="45">
        <v>0.79166666666666663</v>
      </c>
      <c r="H9" s="46">
        <v>0.82291666666666663</v>
      </c>
      <c r="I9" s="47"/>
      <c r="J9" s="48"/>
      <c r="K9" s="47"/>
      <c r="L9" s="48"/>
      <c r="M9" s="10"/>
    </row>
    <row r="10" spans="1:13" ht="18.75" x14ac:dyDescent="0.25">
      <c r="A10" s="2"/>
      <c r="B10" s="35" t="s">
        <v>12</v>
      </c>
      <c r="C10" s="27">
        <v>0.80208333333333337</v>
      </c>
      <c r="D10" s="24">
        <v>0.83333333333333337</v>
      </c>
      <c r="E10" s="25"/>
      <c r="F10" s="26"/>
      <c r="G10" s="27">
        <v>0.80208333333333337</v>
      </c>
      <c r="H10" s="24">
        <v>0.83333333333333337</v>
      </c>
      <c r="I10" s="25"/>
      <c r="J10" s="26"/>
      <c r="K10" s="25"/>
      <c r="L10" s="26"/>
      <c r="M10" s="10"/>
    </row>
    <row r="11" spans="1:13" ht="18.75" x14ac:dyDescent="0.25">
      <c r="A11" s="2"/>
      <c r="B11" s="52" t="s">
        <v>13</v>
      </c>
      <c r="C11" s="47"/>
      <c r="D11" s="48"/>
      <c r="E11" s="45">
        <v>0.80208333333333337</v>
      </c>
      <c r="F11" s="46">
        <v>0.83333333333333337</v>
      </c>
      <c r="G11" s="47"/>
      <c r="H11" s="48"/>
      <c r="I11" s="45">
        <v>0.80208333333333337</v>
      </c>
      <c r="J11" s="46">
        <v>0.83333333333333337</v>
      </c>
      <c r="K11" s="47"/>
      <c r="L11" s="48"/>
      <c r="M11" s="10"/>
    </row>
    <row r="12" spans="1:13" ht="18.75" x14ac:dyDescent="0.25">
      <c r="A12" s="2"/>
      <c r="B12" s="35" t="s">
        <v>14</v>
      </c>
      <c r="C12" s="25"/>
      <c r="D12" s="26"/>
      <c r="E12" s="27">
        <v>0.76041666666666663</v>
      </c>
      <c r="F12" s="24">
        <v>0.79166666666666663</v>
      </c>
      <c r="G12" s="27">
        <v>0.6875</v>
      </c>
      <c r="H12" s="24">
        <v>0.71875</v>
      </c>
      <c r="I12" s="27">
        <v>0.76041666666666663</v>
      </c>
      <c r="J12" s="24">
        <v>0.79166666666666663</v>
      </c>
      <c r="K12" s="27">
        <v>0.6875</v>
      </c>
      <c r="L12" s="24">
        <v>0.71875</v>
      </c>
      <c r="M12" s="10"/>
    </row>
    <row r="13" spans="1:13" ht="18.75" x14ac:dyDescent="0.25">
      <c r="A13" s="2"/>
      <c r="B13" s="52" t="s">
        <v>15</v>
      </c>
      <c r="C13" s="47"/>
      <c r="D13" s="48"/>
      <c r="E13" s="45">
        <v>0.80208333333333337</v>
      </c>
      <c r="F13" s="46">
        <v>0.82291666666666663</v>
      </c>
      <c r="G13" s="45">
        <v>0.80208333333333337</v>
      </c>
      <c r="H13" s="46">
        <v>0.82291666666666663</v>
      </c>
      <c r="I13" s="45">
        <v>0.80208333333333337</v>
      </c>
      <c r="J13" s="46">
        <v>0.82291666666666663</v>
      </c>
      <c r="K13" s="47"/>
      <c r="L13" s="48"/>
      <c r="M13" s="10"/>
    </row>
    <row r="14" spans="1:13" ht="18.75" x14ac:dyDescent="0.25">
      <c r="A14" s="2"/>
      <c r="B14" s="115" t="s">
        <v>16</v>
      </c>
      <c r="C14" s="27">
        <v>0.29166666666666669</v>
      </c>
      <c r="D14" s="24">
        <v>0.32291666666666669</v>
      </c>
      <c r="E14" s="27">
        <v>0.33333333333333331</v>
      </c>
      <c r="F14" s="24">
        <v>0.36458333333333331</v>
      </c>
      <c r="G14" s="27">
        <v>0.29166666666666669</v>
      </c>
      <c r="H14" s="24">
        <v>0.32291666666666669</v>
      </c>
      <c r="I14" s="27">
        <v>0.33333333333333331</v>
      </c>
      <c r="J14" s="24">
        <v>0.36458333333333331</v>
      </c>
      <c r="K14" s="25"/>
      <c r="L14" s="26"/>
      <c r="M14" s="10"/>
    </row>
    <row r="15" spans="1:13" ht="18.75" x14ac:dyDescent="0.25">
      <c r="A15" s="2"/>
      <c r="B15" s="115"/>
      <c r="C15" s="27">
        <v>0.71875</v>
      </c>
      <c r="D15" s="24">
        <v>0.75</v>
      </c>
      <c r="E15" s="27">
        <v>0.66666666666666663</v>
      </c>
      <c r="F15" s="24">
        <v>0.69791666666666663</v>
      </c>
      <c r="G15" s="27">
        <v>0.71875</v>
      </c>
      <c r="H15" s="24">
        <v>0.75</v>
      </c>
      <c r="I15" s="27">
        <v>0.66666666666666663</v>
      </c>
      <c r="J15" s="24">
        <v>0.69791666666666663</v>
      </c>
      <c r="K15" s="25"/>
      <c r="L15" s="26"/>
      <c r="M15" s="10"/>
    </row>
    <row r="16" spans="1:13" ht="19.5" thickBot="1" x14ac:dyDescent="0.3">
      <c r="A16" s="2"/>
      <c r="B16" s="115"/>
      <c r="C16" s="32">
        <v>0.82638888888888884</v>
      </c>
      <c r="D16" s="31">
        <v>0.85763888888888884</v>
      </c>
      <c r="E16" s="32">
        <v>0.82638888888888884</v>
      </c>
      <c r="F16" s="31">
        <v>0.85763888888888884</v>
      </c>
      <c r="G16" s="32">
        <v>0.82638888888888884</v>
      </c>
      <c r="H16" s="31">
        <v>0.85763888888888884</v>
      </c>
      <c r="I16" s="32">
        <v>0.82638888888888884</v>
      </c>
      <c r="J16" s="31">
        <v>0.85763888888888884</v>
      </c>
      <c r="K16" s="33"/>
      <c r="L16" s="34"/>
      <c r="M16" s="10"/>
    </row>
    <row r="17" spans="1:13" x14ac:dyDescent="0.25">
      <c r="A17" s="2"/>
      <c r="B17" s="2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ht="15.75" customHeight="1" x14ac:dyDescent="0.3">
      <c r="A18" s="2"/>
      <c r="B18" s="11" t="s">
        <v>17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3" ht="15.75" customHeight="1" x14ac:dyDescent="0.3">
      <c r="A19" s="2"/>
      <c r="B19" s="11" t="s">
        <v>18</v>
      </c>
      <c r="C19" s="10"/>
      <c r="D19" s="10"/>
      <c r="E19" s="10"/>
      <c r="F19" s="10"/>
      <c r="G19" s="10"/>
      <c r="H19" s="10"/>
      <c r="I19" s="10"/>
      <c r="J19" s="10"/>
      <c r="K19" s="13"/>
      <c r="L19" s="14" t="s">
        <v>19</v>
      </c>
      <c r="M19" s="10"/>
    </row>
  </sheetData>
  <mergeCells count="7">
    <mergeCell ref="K4:L4"/>
    <mergeCell ref="B14:B16"/>
    <mergeCell ref="B2:C2"/>
    <mergeCell ref="C4:D4"/>
    <mergeCell ref="E4:F4"/>
    <mergeCell ref="G4:H4"/>
    <mergeCell ref="I4:J4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6487A-1D23-4136-A20E-2AFEDEB28581}">
  <dimension ref="A1:O27"/>
  <sheetViews>
    <sheetView zoomScale="85" zoomScaleNormal="85" workbookViewId="0">
      <selection activeCell="B5" sqref="B5:B15"/>
    </sheetView>
  </sheetViews>
  <sheetFormatPr defaultRowHeight="15" x14ac:dyDescent="0.25"/>
  <cols>
    <col min="1" max="1" width="9.140625" style="12"/>
    <col min="2" max="2" width="28.5703125" style="12" customWidth="1"/>
    <col min="3" max="3" width="18.140625" style="12" customWidth="1"/>
    <col min="4" max="4" width="18.28515625" style="12" customWidth="1"/>
    <col min="5" max="6" width="18.140625" style="12" customWidth="1"/>
    <col min="7" max="8" width="18.28515625" style="12" customWidth="1"/>
    <col min="9" max="12" width="18.42578125" style="12" customWidth="1"/>
    <col min="13" max="14" width="18" style="12" customWidth="1"/>
    <col min="15" max="16384" width="9.140625" style="12"/>
  </cols>
  <sheetData>
    <row r="1" spans="1:1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6.25" x14ac:dyDescent="0.25">
      <c r="A2" s="2"/>
      <c r="B2" s="116" t="s">
        <v>20</v>
      </c>
      <c r="C2" s="11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</row>
    <row r="3" spans="1:15" ht="24" thickBot="1" x14ac:dyDescent="0.3">
      <c r="A3" s="2"/>
      <c r="B3" s="5" t="s">
        <v>21</v>
      </c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2"/>
    </row>
    <row r="4" spans="1:15" ht="30" customHeight="1" thickBot="1" x14ac:dyDescent="0.3">
      <c r="A4" s="2"/>
      <c r="B4" s="18" t="s">
        <v>23</v>
      </c>
      <c r="C4" s="117" t="s">
        <v>24</v>
      </c>
      <c r="D4" s="114"/>
      <c r="E4" s="113" t="s">
        <v>3</v>
      </c>
      <c r="F4" s="114"/>
      <c r="G4" s="113" t="s">
        <v>4</v>
      </c>
      <c r="H4" s="114"/>
      <c r="I4" s="120" t="s">
        <v>5</v>
      </c>
      <c r="J4" s="121"/>
      <c r="K4" s="118" t="s">
        <v>6</v>
      </c>
      <c r="L4" s="119"/>
      <c r="M4" s="118" t="s">
        <v>35</v>
      </c>
      <c r="N4" s="119"/>
      <c r="O4" s="2"/>
    </row>
    <row r="5" spans="1:15" ht="18.75" customHeight="1" x14ac:dyDescent="0.25">
      <c r="A5" s="2"/>
      <c r="B5" s="136" t="s">
        <v>22</v>
      </c>
      <c r="C5" s="140" t="s">
        <v>25</v>
      </c>
      <c r="D5" s="141"/>
      <c r="E5" s="36" t="s">
        <v>32</v>
      </c>
      <c r="F5" s="37">
        <v>0.45833333333333331</v>
      </c>
      <c r="G5" s="36" t="s">
        <v>34</v>
      </c>
      <c r="H5" s="37">
        <v>0.45833333333333331</v>
      </c>
      <c r="I5" s="38" t="s">
        <v>32</v>
      </c>
      <c r="J5" s="39">
        <v>0.45833333333333331</v>
      </c>
      <c r="K5" s="40" t="s">
        <v>34</v>
      </c>
      <c r="L5" s="41">
        <v>0.45833333333333331</v>
      </c>
      <c r="M5" s="145"/>
      <c r="N5" s="146"/>
      <c r="O5" s="2"/>
    </row>
    <row r="6" spans="1:15" ht="18.75" x14ac:dyDescent="0.25">
      <c r="A6" s="2"/>
      <c r="B6" s="137"/>
      <c r="C6" s="128"/>
      <c r="D6" s="129"/>
      <c r="E6" s="45">
        <v>0.73958333333333337</v>
      </c>
      <c r="F6" s="46">
        <v>0.77083333333333337</v>
      </c>
      <c r="G6" s="45"/>
      <c r="H6" s="46"/>
      <c r="I6" s="45">
        <v>0.73958333333333337</v>
      </c>
      <c r="J6" s="46">
        <v>0.77083333333333337</v>
      </c>
      <c r="K6" s="45"/>
      <c r="L6" s="46"/>
      <c r="M6" s="147"/>
      <c r="N6" s="148"/>
      <c r="O6" s="2"/>
    </row>
    <row r="7" spans="1:15" ht="18.75" x14ac:dyDescent="0.25">
      <c r="A7" s="2"/>
      <c r="B7" s="137"/>
      <c r="C7" s="128" t="s">
        <v>26</v>
      </c>
      <c r="D7" s="129"/>
      <c r="E7" s="40">
        <v>0.42708333333333331</v>
      </c>
      <c r="F7" s="41">
        <v>0.45833333333333331</v>
      </c>
      <c r="G7" s="40"/>
      <c r="H7" s="41"/>
      <c r="I7" s="40">
        <v>0.42708333333333331</v>
      </c>
      <c r="J7" s="41">
        <v>0.45833333333333331</v>
      </c>
      <c r="K7" s="40"/>
      <c r="L7" s="41"/>
      <c r="M7" s="145"/>
      <c r="N7" s="146"/>
      <c r="O7" s="2"/>
    </row>
    <row r="8" spans="1:15" ht="18.75" x14ac:dyDescent="0.25">
      <c r="A8" s="2"/>
      <c r="B8" s="137"/>
      <c r="C8" s="128"/>
      <c r="D8" s="129"/>
      <c r="E8" s="45">
        <v>0.77083333333333337</v>
      </c>
      <c r="F8" s="46">
        <v>0.80208333333333337</v>
      </c>
      <c r="G8" s="45"/>
      <c r="H8" s="46"/>
      <c r="I8" s="45">
        <v>0.77083333333333337</v>
      </c>
      <c r="J8" s="46">
        <v>0.80208333333333337</v>
      </c>
      <c r="K8" s="47"/>
      <c r="L8" s="48"/>
      <c r="M8" s="147"/>
      <c r="N8" s="148"/>
      <c r="O8" s="10"/>
    </row>
    <row r="9" spans="1:15" ht="18.75" x14ac:dyDescent="0.25">
      <c r="A9" s="2"/>
      <c r="B9" s="137"/>
      <c r="C9" s="128" t="s">
        <v>27</v>
      </c>
      <c r="D9" s="129"/>
      <c r="E9" s="40">
        <v>0.39583333333333331</v>
      </c>
      <c r="F9" s="41">
        <v>0.42708333333333331</v>
      </c>
      <c r="G9" s="40">
        <v>0.73958333333333337</v>
      </c>
      <c r="H9" s="41">
        <v>0.77083333333333337</v>
      </c>
      <c r="I9" s="40">
        <v>0.39583333333333331</v>
      </c>
      <c r="J9" s="41">
        <v>0.42708333333333331</v>
      </c>
      <c r="K9" s="40">
        <v>0.73958333333333337</v>
      </c>
      <c r="L9" s="41">
        <v>0.77083333333333337</v>
      </c>
      <c r="M9" s="145"/>
      <c r="N9" s="146"/>
      <c r="O9" s="10"/>
    </row>
    <row r="10" spans="1:15" ht="18.75" x14ac:dyDescent="0.25">
      <c r="A10" s="2"/>
      <c r="B10" s="137"/>
      <c r="C10" s="128" t="s">
        <v>28</v>
      </c>
      <c r="D10" s="129"/>
      <c r="E10" s="45">
        <v>0.36458333333333331</v>
      </c>
      <c r="F10" s="46">
        <v>0.39583333333333331</v>
      </c>
      <c r="G10" s="45"/>
      <c r="H10" s="46"/>
      <c r="I10" s="45">
        <v>0.36458333333333331</v>
      </c>
      <c r="J10" s="46">
        <v>0.39583333333333331</v>
      </c>
      <c r="K10" s="47"/>
      <c r="L10" s="48"/>
      <c r="M10" s="147"/>
      <c r="N10" s="148"/>
      <c r="O10" s="10"/>
    </row>
    <row r="11" spans="1:15" ht="18.75" x14ac:dyDescent="0.25">
      <c r="A11" s="2"/>
      <c r="B11" s="137"/>
      <c r="C11" s="128"/>
      <c r="D11" s="129"/>
      <c r="E11" s="40">
        <v>0.66666666666666663</v>
      </c>
      <c r="F11" s="41">
        <v>0.69791666666666663</v>
      </c>
      <c r="G11" s="42"/>
      <c r="H11" s="43"/>
      <c r="I11" s="40">
        <v>0.66666666666666663</v>
      </c>
      <c r="J11" s="41">
        <v>0.69791666666666663</v>
      </c>
      <c r="K11" s="40"/>
      <c r="L11" s="41"/>
      <c r="M11" s="145"/>
      <c r="N11" s="146"/>
      <c r="O11" s="10"/>
    </row>
    <row r="12" spans="1:15" ht="18.75" x14ac:dyDescent="0.25">
      <c r="A12" s="2"/>
      <c r="B12" s="137"/>
      <c r="C12" s="134" t="s">
        <v>29</v>
      </c>
      <c r="D12" s="135"/>
      <c r="E12" s="45">
        <v>0.33333333333333331</v>
      </c>
      <c r="F12" s="46">
        <v>0.36458333333333331</v>
      </c>
      <c r="G12" s="47"/>
      <c r="H12" s="48"/>
      <c r="I12" s="45">
        <v>0.33333333333333331</v>
      </c>
      <c r="J12" s="46">
        <v>0.36458333333333331</v>
      </c>
      <c r="K12" s="45"/>
      <c r="L12" s="46"/>
      <c r="M12" s="147" t="s">
        <v>36</v>
      </c>
      <c r="N12" s="148"/>
      <c r="O12" s="10"/>
    </row>
    <row r="13" spans="1:15" ht="18.75" x14ac:dyDescent="0.25">
      <c r="A13" s="2"/>
      <c r="B13" s="137"/>
      <c r="C13" s="134"/>
      <c r="D13" s="135"/>
      <c r="E13" s="40">
        <v>0.45833333333333331</v>
      </c>
      <c r="F13" s="41">
        <v>0.48958333333333331</v>
      </c>
      <c r="G13" s="40"/>
      <c r="H13" s="41"/>
      <c r="I13" s="40">
        <v>0.45833333333333331</v>
      </c>
      <c r="J13" s="41">
        <v>0.48958333333333331</v>
      </c>
      <c r="K13" s="40"/>
      <c r="L13" s="41"/>
      <c r="M13" s="145"/>
      <c r="N13" s="146"/>
      <c r="O13" s="10"/>
    </row>
    <row r="14" spans="1:15" ht="18.75" x14ac:dyDescent="0.25">
      <c r="A14" s="2"/>
      <c r="B14" s="137"/>
      <c r="C14" s="134"/>
      <c r="D14" s="135"/>
      <c r="E14" s="45"/>
      <c r="F14" s="46"/>
      <c r="G14" s="45">
        <v>0.69791666666666663</v>
      </c>
      <c r="H14" s="46">
        <v>0.72916666666666663</v>
      </c>
      <c r="I14" s="45"/>
      <c r="J14" s="46"/>
      <c r="K14" s="45">
        <v>0.69791666666666663</v>
      </c>
      <c r="L14" s="46">
        <v>0.72916666666666663</v>
      </c>
      <c r="M14" s="147"/>
      <c r="N14" s="148"/>
      <c r="O14" s="10"/>
    </row>
    <row r="15" spans="1:15" ht="18.75" x14ac:dyDescent="0.25">
      <c r="A15" s="2"/>
      <c r="B15" s="137"/>
      <c r="C15" s="134"/>
      <c r="D15" s="135"/>
      <c r="E15" s="40"/>
      <c r="F15" s="41"/>
      <c r="G15" s="40">
        <v>0.73958333333333337</v>
      </c>
      <c r="H15" s="41">
        <v>0.77083333333333337</v>
      </c>
      <c r="I15" s="40"/>
      <c r="J15" s="41"/>
      <c r="K15" s="40">
        <v>0.73958333333333337</v>
      </c>
      <c r="L15" s="41">
        <v>0.77083333333333337</v>
      </c>
      <c r="M15" s="145"/>
      <c r="N15" s="146"/>
      <c r="O15" s="10"/>
    </row>
    <row r="16" spans="1:15" ht="18.75" x14ac:dyDescent="0.25">
      <c r="A16" s="2"/>
      <c r="B16" s="130" t="s">
        <v>31</v>
      </c>
      <c r="C16" s="124" t="s">
        <v>27</v>
      </c>
      <c r="D16" s="125"/>
      <c r="E16" s="8"/>
      <c r="F16" s="9"/>
      <c r="G16" s="8">
        <v>0.39583333333333331</v>
      </c>
      <c r="H16" s="9">
        <v>0.42708333333333331</v>
      </c>
      <c r="I16" s="8"/>
      <c r="J16" s="9"/>
      <c r="K16" s="8">
        <v>0.39583333333333331</v>
      </c>
      <c r="L16" s="9">
        <v>0.42708333333333331</v>
      </c>
      <c r="M16" s="153"/>
      <c r="N16" s="154"/>
      <c r="O16" s="10"/>
    </row>
    <row r="17" spans="1:15" ht="18.75" x14ac:dyDescent="0.25">
      <c r="A17" s="2"/>
      <c r="B17" s="130"/>
      <c r="C17" s="124"/>
      <c r="D17" s="125"/>
      <c r="E17" s="8"/>
      <c r="F17" s="9"/>
      <c r="G17" s="8">
        <v>0.77083333333333337</v>
      </c>
      <c r="H17" s="9">
        <v>0.80208333333333337</v>
      </c>
      <c r="I17" s="8"/>
      <c r="J17" s="9"/>
      <c r="K17" s="8">
        <v>0.77083333333333337</v>
      </c>
      <c r="L17" s="9">
        <v>0.80208333333333337</v>
      </c>
      <c r="M17" s="153"/>
      <c r="N17" s="154"/>
      <c r="O17" s="10"/>
    </row>
    <row r="18" spans="1:15" ht="18.75" x14ac:dyDescent="0.25">
      <c r="A18" s="2"/>
      <c r="B18" s="130"/>
      <c r="C18" s="124" t="s">
        <v>28</v>
      </c>
      <c r="D18" s="125"/>
      <c r="E18" s="8"/>
      <c r="F18" s="9"/>
      <c r="G18" s="8">
        <v>0.36458333333333331</v>
      </c>
      <c r="H18" s="9">
        <v>0.39583333333333331</v>
      </c>
      <c r="I18" s="8"/>
      <c r="J18" s="9"/>
      <c r="K18" s="8">
        <v>0.36458333333333331</v>
      </c>
      <c r="L18" s="9">
        <v>0.39583333333333331</v>
      </c>
      <c r="M18" s="153"/>
      <c r="N18" s="154"/>
      <c r="O18" s="10"/>
    </row>
    <row r="19" spans="1:15" ht="18.75" x14ac:dyDescent="0.25">
      <c r="A19" s="2"/>
      <c r="B19" s="130"/>
      <c r="C19" s="124"/>
      <c r="D19" s="125"/>
      <c r="E19" s="8"/>
      <c r="F19" s="9"/>
      <c r="G19" s="8">
        <v>0.66666666666666663</v>
      </c>
      <c r="H19" s="9">
        <v>0.69791666666666663</v>
      </c>
      <c r="I19" s="8"/>
      <c r="J19" s="9"/>
      <c r="K19" s="8">
        <v>0.66666666666666663</v>
      </c>
      <c r="L19" s="9">
        <v>0.69791666666666663</v>
      </c>
      <c r="M19" s="153"/>
      <c r="N19" s="154"/>
      <c r="O19" s="10"/>
    </row>
    <row r="20" spans="1:15" ht="18.75" x14ac:dyDescent="0.25">
      <c r="A20" s="2"/>
      <c r="B20" s="130"/>
      <c r="C20" s="126" t="s">
        <v>29</v>
      </c>
      <c r="D20" s="127"/>
      <c r="E20" s="8"/>
      <c r="F20" s="9"/>
      <c r="G20" s="8">
        <v>0.33333333333333331</v>
      </c>
      <c r="H20" s="9">
        <v>0.36458333333333331</v>
      </c>
      <c r="I20" s="8"/>
      <c r="J20" s="9"/>
      <c r="K20" s="8">
        <v>0.33333333333333331</v>
      </c>
      <c r="L20" s="9">
        <v>0.36458333333333331</v>
      </c>
      <c r="M20" s="153" t="s">
        <v>37</v>
      </c>
      <c r="N20" s="154"/>
      <c r="O20" s="10"/>
    </row>
    <row r="21" spans="1:15" ht="18.75" x14ac:dyDescent="0.25">
      <c r="A21" s="2"/>
      <c r="B21" s="130"/>
      <c r="C21" s="126"/>
      <c r="D21" s="127"/>
      <c r="E21" s="8"/>
      <c r="F21" s="9"/>
      <c r="G21" s="8">
        <v>0.80208333333333337</v>
      </c>
      <c r="H21" s="9">
        <v>0.83333333333333337</v>
      </c>
      <c r="I21" s="8"/>
      <c r="J21" s="9"/>
      <c r="K21" s="8">
        <v>0.80208333333333337</v>
      </c>
      <c r="L21" s="9">
        <v>0.83333333333333337</v>
      </c>
      <c r="M21" s="153"/>
      <c r="N21" s="154"/>
      <c r="O21" s="10"/>
    </row>
    <row r="22" spans="1:15" ht="18.75" x14ac:dyDescent="0.25">
      <c r="A22" s="2"/>
      <c r="B22" s="137" t="s">
        <v>33</v>
      </c>
      <c r="C22" s="128" t="s">
        <v>28</v>
      </c>
      <c r="D22" s="129"/>
      <c r="E22" s="45">
        <v>0.69791666666666663</v>
      </c>
      <c r="F22" s="46">
        <v>0.72916666666666663</v>
      </c>
      <c r="G22" s="45"/>
      <c r="H22" s="46"/>
      <c r="I22" s="45">
        <v>0.69791666666666663</v>
      </c>
      <c r="J22" s="46">
        <v>0.72916666666666663</v>
      </c>
      <c r="K22" s="45"/>
      <c r="L22" s="46"/>
      <c r="M22" s="147"/>
      <c r="N22" s="148"/>
      <c r="O22" s="10"/>
    </row>
    <row r="23" spans="1:15" ht="34.5" customHeight="1" x14ac:dyDescent="0.25">
      <c r="A23" s="2"/>
      <c r="B23" s="137"/>
      <c r="C23" s="128" t="s">
        <v>29</v>
      </c>
      <c r="D23" s="129"/>
      <c r="E23" s="45">
        <v>0.80208333333333337</v>
      </c>
      <c r="F23" s="46">
        <v>0.83333333333333337</v>
      </c>
      <c r="G23" s="45"/>
      <c r="H23" s="46"/>
      <c r="I23" s="45">
        <v>0.80208333333333337</v>
      </c>
      <c r="J23" s="46">
        <v>0.83333333333333337</v>
      </c>
      <c r="K23" s="45"/>
      <c r="L23" s="46"/>
      <c r="M23" s="147"/>
      <c r="N23" s="148"/>
      <c r="O23" s="10"/>
    </row>
    <row r="24" spans="1:15" ht="18.75" customHeight="1" x14ac:dyDescent="0.25">
      <c r="A24" s="2"/>
      <c r="B24" s="130" t="s">
        <v>30</v>
      </c>
      <c r="C24" s="126"/>
      <c r="D24" s="127"/>
      <c r="E24" s="138">
        <v>0.5</v>
      </c>
      <c r="F24" s="122">
        <v>0.53125</v>
      </c>
      <c r="G24" s="138"/>
      <c r="H24" s="122"/>
      <c r="I24" s="142">
        <v>0.5</v>
      </c>
      <c r="J24" s="125">
        <v>0.53125</v>
      </c>
      <c r="K24" s="138"/>
      <c r="L24" s="125"/>
      <c r="M24" s="149"/>
      <c r="N24" s="150"/>
      <c r="O24" s="10"/>
    </row>
    <row r="25" spans="1:15" ht="19.5" customHeight="1" thickBot="1" x14ac:dyDescent="0.3">
      <c r="A25" s="2"/>
      <c r="B25" s="131"/>
      <c r="C25" s="132"/>
      <c r="D25" s="133"/>
      <c r="E25" s="139"/>
      <c r="F25" s="123"/>
      <c r="G25" s="139"/>
      <c r="H25" s="123"/>
      <c r="I25" s="143"/>
      <c r="J25" s="144"/>
      <c r="K25" s="139"/>
      <c r="L25" s="144"/>
      <c r="M25" s="151"/>
      <c r="N25" s="152"/>
      <c r="O25" s="10"/>
    </row>
    <row r="26" spans="1:15" x14ac:dyDescent="0.25">
      <c r="A26" s="2"/>
      <c r="B26" s="2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ht="15.75" customHeight="1" x14ac:dyDescent="0.3">
      <c r="A27" s="2"/>
      <c r="B27" s="11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4" t="s">
        <v>19</v>
      </c>
      <c r="N27" s="10"/>
      <c r="O27" s="10"/>
    </row>
  </sheetData>
  <mergeCells count="49">
    <mergeCell ref="M22:N22"/>
    <mergeCell ref="M23:N23"/>
    <mergeCell ref="M24:N25"/>
    <mergeCell ref="M16:N16"/>
    <mergeCell ref="M17:N17"/>
    <mergeCell ref="M18:N18"/>
    <mergeCell ref="M19:N19"/>
    <mergeCell ref="M20:N20"/>
    <mergeCell ref="M21:N21"/>
    <mergeCell ref="M15:N15"/>
    <mergeCell ref="M5:N5"/>
    <mergeCell ref="M6:N6"/>
    <mergeCell ref="M7:N7"/>
    <mergeCell ref="M9:N9"/>
    <mergeCell ref="M8:N8"/>
    <mergeCell ref="M10:N10"/>
    <mergeCell ref="M11:N11"/>
    <mergeCell ref="M12:N12"/>
    <mergeCell ref="M13:N13"/>
    <mergeCell ref="M14:N14"/>
    <mergeCell ref="G24:G25"/>
    <mergeCell ref="H24:H25"/>
    <mergeCell ref="I24:I25"/>
    <mergeCell ref="L24:L25"/>
    <mergeCell ref="J24:J25"/>
    <mergeCell ref="K24:K25"/>
    <mergeCell ref="C12:D15"/>
    <mergeCell ref="B5:B15"/>
    <mergeCell ref="B16:B21"/>
    <mergeCell ref="B22:B23"/>
    <mergeCell ref="E24:E25"/>
    <mergeCell ref="C5:D6"/>
    <mergeCell ref="C7:D8"/>
    <mergeCell ref="C9:D9"/>
    <mergeCell ref="C10:D11"/>
    <mergeCell ref="F24:F25"/>
    <mergeCell ref="C16:D17"/>
    <mergeCell ref="C18:D19"/>
    <mergeCell ref="C20:D21"/>
    <mergeCell ref="C22:D22"/>
    <mergeCell ref="C23:D23"/>
    <mergeCell ref="B24:D25"/>
    <mergeCell ref="B2:C2"/>
    <mergeCell ref="C4:D4"/>
    <mergeCell ref="E4:F4"/>
    <mergeCell ref="G4:H4"/>
    <mergeCell ref="M4:N4"/>
    <mergeCell ref="I4:J4"/>
    <mergeCell ref="K4:L4"/>
  </mergeCells>
  <phoneticPr fontId="1" type="noConversion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8FFD4-FB0A-4024-9CDD-8651C37315AD}">
  <dimension ref="A1:N19"/>
  <sheetViews>
    <sheetView zoomScale="85" zoomScaleNormal="85" workbookViewId="0">
      <selection activeCell="B4" sqref="B4:B5"/>
    </sheetView>
  </sheetViews>
  <sheetFormatPr defaultRowHeight="15" x14ac:dyDescent="0.25"/>
  <cols>
    <col min="1" max="1" width="4.140625" style="12" customWidth="1"/>
    <col min="2" max="2" width="25.85546875" style="12" customWidth="1"/>
    <col min="3" max="3" width="20.28515625" style="12" customWidth="1"/>
    <col min="4" max="4" width="18.140625" style="12" customWidth="1"/>
    <col min="5" max="5" width="18.28515625" style="12" customWidth="1"/>
    <col min="6" max="7" width="18.140625" style="12" customWidth="1"/>
    <col min="8" max="9" width="18.28515625" style="12" customWidth="1"/>
    <col min="10" max="11" width="18.42578125" style="12" customWidth="1"/>
    <col min="12" max="13" width="18" style="12" customWidth="1"/>
    <col min="14" max="14" width="5" style="12" customWidth="1"/>
    <col min="15" max="16384" width="9.140625" style="12"/>
  </cols>
  <sheetData>
    <row r="1" spans="1:14" ht="26.25" x14ac:dyDescent="0.25">
      <c r="A1" s="2"/>
      <c r="B1" s="116" t="s">
        <v>20</v>
      </c>
      <c r="C1" s="116"/>
      <c r="D1" s="116"/>
      <c r="E1" s="3"/>
      <c r="F1" s="3"/>
      <c r="G1" s="3"/>
      <c r="H1" s="3"/>
      <c r="I1" s="3"/>
      <c r="J1" s="3"/>
      <c r="K1" s="3"/>
      <c r="L1" s="3"/>
      <c r="M1" s="3"/>
      <c r="N1" s="2"/>
    </row>
    <row r="2" spans="1:14" ht="27" thickBot="1" x14ac:dyDescent="0.3">
      <c r="A2" s="2"/>
      <c r="B2" s="5" t="s">
        <v>38</v>
      </c>
      <c r="C2" s="5"/>
      <c r="D2" s="20"/>
      <c r="E2" s="3"/>
      <c r="F2" s="3"/>
      <c r="G2" s="3"/>
      <c r="H2" s="3"/>
      <c r="I2" s="3"/>
      <c r="J2" s="3"/>
      <c r="K2" s="3"/>
      <c r="L2" s="3"/>
      <c r="M2" s="3"/>
      <c r="N2" s="2"/>
    </row>
    <row r="3" spans="1:14" ht="30" customHeight="1" x14ac:dyDescent="0.25">
      <c r="A3" s="2"/>
      <c r="B3" s="21" t="s">
        <v>39</v>
      </c>
      <c r="C3" s="21" t="s">
        <v>24</v>
      </c>
      <c r="D3" s="157" t="s">
        <v>2</v>
      </c>
      <c r="E3" s="119"/>
      <c r="F3" s="118" t="s">
        <v>3</v>
      </c>
      <c r="G3" s="119"/>
      <c r="H3" s="118" t="s">
        <v>4</v>
      </c>
      <c r="I3" s="119"/>
      <c r="J3" s="118" t="s">
        <v>5</v>
      </c>
      <c r="K3" s="119"/>
      <c r="L3" s="118" t="s">
        <v>6</v>
      </c>
      <c r="M3" s="119"/>
      <c r="N3" s="2"/>
    </row>
    <row r="4" spans="1:14" ht="18.75" x14ac:dyDescent="0.25">
      <c r="A4" s="2"/>
      <c r="B4" s="162" t="s">
        <v>40</v>
      </c>
      <c r="C4" s="158" t="s">
        <v>46</v>
      </c>
      <c r="D4" s="53"/>
      <c r="E4" s="46"/>
      <c r="F4" s="45" t="s">
        <v>55</v>
      </c>
      <c r="G4" s="46">
        <v>0.39583333333333331</v>
      </c>
      <c r="H4" s="45"/>
      <c r="I4" s="46"/>
      <c r="J4" s="45" t="s">
        <v>55</v>
      </c>
      <c r="K4" s="46">
        <v>0.39583333333333331</v>
      </c>
      <c r="L4" s="45"/>
      <c r="M4" s="46"/>
      <c r="N4" s="2"/>
    </row>
    <row r="5" spans="1:14" ht="18.75" x14ac:dyDescent="0.25">
      <c r="A5" s="2"/>
      <c r="B5" s="162"/>
      <c r="C5" s="159"/>
      <c r="D5" s="53"/>
      <c r="E5" s="46"/>
      <c r="F5" s="45" t="s">
        <v>56</v>
      </c>
      <c r="G5" s="46">
        <v>0.75</v>
      </c>
      <c r="H5" s="45"/>
      <c r="I5" s="46"/>
      <c r="J5" s="45" t="s">
        <v>56</v>
      </c>
      <c r="K5" s="46">
        <v>0.75</v>
      </c>
      <c r="L5" s="47"/>
      <c r="M5" s="48"/>
      <c r="N5" s="2"/>
    </row>
    <row r="6" spans="1:14" ht="18.75" x14ac:dyDescent="0.25">
      <c r="A6" s="2"/>
      <c r="B6" s="22" t="s">
        <v>41</v>
      </c>
      <c r="C6" s="22" t="s">
        <v>28</v>
      </c>
      <c r="D6" s="23"/>
      <c r="E6" s="24"/>
      <c r="F6" s="27">
        <v>0.66666666666666663</v>
      </c>
      <c r="G6" s="24">
        <v>0.70138888888888884</v>
      </c>
      <c r="H6" s="27"/>
      <c r="I6" s="24"/>
      <c r="J6" s="27">
        <v>0.66666666666666663</v>
      </c>
      <c r="K6" s="24">
        <v>0.70138888888888884</v>
      </c>
      <c r="L6" s="25"/>
      <c r="M6" s="26"/>
      <c r="N6" s="2"/>
    </row>
    <row r="7" spans="1:14" ht="18.75" x14ac:dyDescent="0.25">
      <c r="A7" s="2"/>
      <c r="B7" s="54" t="s">
        <v>42</v>
      </c>
      <c r="C7" s="54" t="s">
        <v>47</v>
      </c>
      <c r="D7" s="53"/>
      <c r="E7" s="46"/>
      <c r="F7" s="45">
        <v>0.625</v>
      </c>
      <c r="G7" s="46">
        <v>0.65972222222222221</v>
      </c>
      <c r="H7" s="45"/>
      <c r="I7" s="46"/>
      <c r="J7" s="45">
        <v>0.625</v>
      </c>
      <c r="K7" s="46">
        <v>0.65972222222222221</v>
      </c>
      <c r="L7" s="47"/>
      <c r="M7" s="48"/>
      <c r="N7" s="10"/>
    </row>
    <row r="8" spans="1:14" ht="18.75" x14ac:dyDescent="0.25">
      <c r="A8" s="2"/>
      <c r="B8" s="155" t="s">
        <v>43</v>
      </c>
      <c r="C8" s="160" t="s">
        <v>48</v>
      </c>
      <c r="D8" s="23"/>
      <c r="E8" s="24"/>
      <c r="F8" s="25" t="s">
        <v>57</v>
      </c>
      <c r="G8" s="24">
        <v>0.41666666666666669</v>
      </c>
      <c r="H8" s="27"/>
      <c r="I8" s="24"/>
      <c r="J8" s="25" t="s">
        <v>57</v>
      </c>
      <c r="K8" s="24">
        <v>0.41666666666666669</v>
      </c>
      <c r="L8" s="25"/>
      <c r="M8" s="26"/>
      <c r="N8" s="10"/>
    </row>
    <row r="9" spans="1:14" ht="18.75" x14ac:dyDescent="0.25">
      <c r="A9" s="2"/>
      <c r="B9" s="155"/>
      <c r="C9" s="161"/>
      <c r="D9" s="23"/>
      <c r="E9" s="24"/>
      <c r="F9" s="25" t="s">
        <v>56</v>
      </c>
      <c r="G9" s="24">
        <v>0.76041666666666663</v>
      </c>
      <c r="H9" s="27"/>
      <c r="I9" s="24"/>
      <c r="J9" s="25" t="s">
        <v>56</v>
      </c>
      <c r="K9" s="24">
        <v>0.76041666666666663</v>
      </c>
      <c r="L9" s="25"/>
      <c r="M9" s="26"/>
      <c r="N9" s="10"/>
    </row>
    <row r="10" spans="1:14" ht="18.75" x14ac:dyDescent="0.25">
      <c r="A10" s="2"/>
      <c r="B10" s="155"/>
      <c r="C10" s="22" t="s">
        <v>49</v>
      </c>
      <c r="D10" s="28"/>
      <c r="E10" s="26"/>
      <c r="F10" s="27">
        <v>0.76041666666666663</v>
      </c>
      <c r="G10" s="24">
        <v>0.79166666666666663</v>
      </c>
      <c r="H10" s="25"/>
      <c r="I10" s="26"/>
      <c r="J10" s="27">
        <v>0.76041666666666663</v>
      </c>
      <c r="K10" s="24">
        <v>0.79166666666666663</v>
      </c>
      <c r="L10" s="25"/>
      <c r="M10" s="26"/>
      <c r="N10" s="10"/>
    </row>
    <row r="11" spans="1:14" ht="18.75" x14ac:dyDescent="0.25">
      <c r="A11" s="2"/>
      <c r="B11" s="163" t="s">
        <v>45</v>
      </c>
      <c r="C11" s="54" t="s">
        <v>48</v>
      </c>
      <c r="D11" s="55"/>
      <c r="E11" s="48"/>
      <c r="F11" s="45"/>
      <c r="G11" s="46"/>
      <c r="H11" s="45" t="s">
        <v>61</v>
      </c>
      <c r="I11" s="46">
        <v>0.44444444444444442</v>
      </c>
      <c r="J11" s="45"/>
      <c r="K11" s="46"/>
      <c r="L11" s="45" t="s">
        <v>63</v>
      </c>
      <c r="M11" s="46">
        <v>0.44444444444444442</v>
      </c>
      <c r="N11" s="10"/>
    </row>
    <row r="12" spans="1:14" ht="18.75" x14ac:dyDescent="0.25">
      <c r="A12" s="2"/>
      <c r="B12" s="162"/>
      <c r="C12" s="158" t="s">
        <v>49</v>
      </c>
      <c r="D12" s="55"/>
      <c r="E12" s="48"/>
      <c r="F12" s="45"/>
      <c r="G12" s="46"/>
      <c r="H12" s="45" t="s">
        <v>55</v>
      </c>
      <c r="I12" s="46">
        <v>0.40972222222222221</v>
      </c>
      <c r="J12" s="45"/>
      <c r="K12" s="46"/>
      <c r="L12" s="47"/>
      <c r="M12" s="48"/>
      <c r="N12" s="10"/>
    </row>
    <row r="13" spans="1:14" ht="18.75" x14ac:dyDescent="0.25">
      <c r="A13" s="2"/>
      <c r="B13" s="162"/>
      <c r="C13" s="159"/>
      <c r="D13" s="53"/>
      <c r="E13" s="46"/>
      <c r="F13" s="45"/>
      <c r="G13" s="46"/>
      <c r="H13" s="45" t="s">
        <v>62</v>
      </c>
      <c r="I13" s="46">
        <v>0.70138888888888884</v>
      </c>
      <c r="J13" s="45"/>
      <c r="K13" s="46"/>
      <c r="L13" s="47"/>
      <c r="M13" s="48"/>
      <c r="N13" s="10"/>
    </row>
    <row r="14" spans="1:14" ht="18.75" x14ac:dyDescent="0.25">
      <c r="A14" s="2"/>
      <c r="B14" s="155" t="s">
        <v>44</v>
      </c>
      <c r="C14" s="22" t="s">
        <v>48</v>
      </c>
      <c r="D14" s="23" t="s">
        <v>52</v>
      </c>
      <c r="E14" s="24">
        <v>0.77083333333333337</v>
      </c>
      <c r="F14" s="27" t="s">
        <v>58</v>
      </c>
      <c r="G14" s="24">
        <v>0.78472222222222221</v>
      </c>
      <c r="H14" s="27" t="s">
        <v>52</v>
      </c>
      <c r="I14" s="24">
        <v>0.77083333333333337</v>
      </c>
      <c r="J14" s="27" t="s">
        <v>58</v>
      </c>
      <c r="K14" s="24">
        <v>0.78472222222222221</v>
      </c>
      <c r="L14" s="25"/>
      <c r="M14" s="26"/>
      <c r="N14" s="10"/>
    </row>
    <row r="15" spans="1:14" ht="18.75" x14ac:dyDescent="0.25">
      <c r="A15" s="2"/>
      <c r="B15" s="155"/>
      <c r="C15" s="22" t="s">
        <v>49</v>
      </c>
      <c r="D15" s="23" t="s">
        <v>53</v>
      </c>
      <c r="E15" s="24">
        <v>0.80555555555555558</v>
      </c>
      <c r="F15" s="27" t="s">
        <v>59</v>
      </c>
      <c r="G15" s="24">
        <v>0.81944444444444442</v>
      </c>
      <c r="H15" s="27" t="s">
        <v>53</v>
      </c>
      <c r="I15" s="24">
        <v>0.80555555555555558</v>
      </c>
      <c r="J15" s="27" t="s">
        <v>59</v>
      </c>
      <c r="K15" s="24">
        <v>0.81944444444444442</v>
      </c>
      <c r="L15" s="25"/>
      <c r="M15" s="26"/>
      <c r="N15" s="10"/>
    </row>
    <row r="16" spans="1:14" ht="18.75" x14ac:dyDescent="0.25">
      <c r="A16" s="2"/>
      <c r="B16" s="155"/>
      <c r="C16" s="22" t="s">
        <v>50</v>
      </c>
      <c r="D16" s="23" t="s">
        <v>54</v>
      </c>
      <c r="E16" s="24">
        <v>0.84027777777777779</v>
      </c>
      <c r="F16" s="27" t="s">
        <v>60</v>
      </c>
      <c r="G16" s="24">
        <v>0.85416666666666663</v>
      </c>
      <c r="H16" s="27" t="s">
        <v>54</v>
      </c>
      <c r="I16" s="24">
        <v>0.84027777777777779</v>
      </c>
      <c r="J16" s="27" t="s">
        <v>60</v>
      </c>
      <c r="K16" s="24">
        <v>0.85416666666666663</v>
      </c>
      <c r="L16" s="25"/>
      <c r="M16" s="26"/>
      <c r="N16" s="10"/>
    </row>
    <row r="17" spans="1:14" ht="19.5" thickBot="1" x14ac:dyDescent="0.3">
      <c r="A17" s="2"/>
      <c r="B17" s="156"/>
      <c r="C17" s="29" t="s">
        <v>51</v>
      </c>
      <c r="D17" s="30">
        <v>0.6875</v>
      </c>
      <c r="E17" s="31">
        <v>0.72222222222222221</v>
      </c>
      <c r="F17" s="32"/>
      <c r="G17" s="31"/>
      <c r="H17" s="32">
        <v>0.6875</v>
      </c>
      <c r="I17" s="31">
        <v>0.72222222222222221</v>
      </c>
      <c r="J17" s="32"/>
      <c r="K17" s="31"/>
      <c r="L17" s="33"/>
      <c r="M17" s="34"/>
      <c r="N17" s="10"/>
    </row>
    <row r="18" spans="1:14" x14ac:dyDescent="0.25">
      <c r="A18" s="2"/>
      <c r="B18" s="2"/>
      <c r="C18" s="2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.75" customHeight="1" x14ac:dyDescent="0.3">
      <c r="A19" s="2"/>
      <c r="B19" s="11"/>
      <c r="C19" s="11"/>
      <c r="D19" s="10"/>
      <c r="E19" s="10"/>
      <c r="F19" s="10"/>
      <c r="G19" s="10"/>
      <c r="H19" s="10"/>
      <c r="I19" s="10"/>
      <c r="J19" s="10"/>
      <c r="K19" s="10"/>
      <c r="L19" s="10"/>
      <c r="M19" s="14" t="s">
        <v>19</v>
      </c>
      <c r="N19" s="10"/>
    </row>
  </sheetData>
  <mergeCells count="13">
    <mergeCell ref="J3:K3"/>
    <mergeCell ref="L3:M3"/>
    <mergeCell ref="B14:B17"/>
    <mergeCell ref="B1:D1"/>
    <mergeCell ref="D3:E3"/>
    <mergeCell ref="F3:G3"/>
    <mergeCell ref="H3:I3"/>
    <mergeCell ref="C4:C5"/>
    <mergeCell ref="C8:C9"/>
    <mergeCell ref="C12:C13"/>
    <mergeCell ref="B4:B5"/>
    <mergeCell ref="B8:B10"/>
    <mergeCell ref="B11:B13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8FB4C-BC94-40B7-A150-F8A8D104CA13}">
  <dimension ref="A1:J48"/>
  <sheetViews>
    <sheetView zoomScale="85" zoomScaleNormal="85" workbookViewId="0">
      <selection activeCell="B5" sqref="B5:B47"/>
    </sheetView>
  </sheetViews>
  <sheetFormatPr defaultRowHeight="15" x14ac:dyDescent="0.25"/>
  <cols>
    <col min="1" max="1" width="5.140625" style="12" customWidth="1"/>
    <col min="2" max="2" width="14.7109375" style="12" customWidth="1"/>
    <col min="3" max="3" width="27.85546875" style="12" customWidth="1"/>
    <col min="4" max="4" width="28.7109375" style="12" customWidth="1"/>
    <col min="5" max="5" width="18.140625" style="12" customWidth="1"/>
    <col min="6" max="7" width="10.7109375" style="12" customWidth="1"/>
    <col min="8" max="8" width="19" style="12" customWidth="1"/>
    <col min="9" max="9" width="18.28515625" style="12" customWidth="1"/>
    <col min="10" max="10" width="4.42578125" style="12" customWidth="1"/>
    <col min="11" max="16384" width="9.140625" style="12"/>
  </cols>
  <sheetData>
    <row r="1" spans="1:10" x14ac:dyDescent="0.25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6.25" x14ac:dyDescent="0.25">
      <c r="A2" s="2"/>
      <c r="B2" s="56" t="s">
        <v>64</v>
      </c>
      <c r="C2" s="56"/>
      <c r="D2" s="3"/>
      <c r="E2" s="3"/>
      <c r="F2" s="3"/>
      <c r="G2" s="3"/>
      <c r="H2" s="3"/>
      <c r="I2" s="3"/>
      <c r="J2" s="2"/>
    </row>
    <row r="3" spans="1:10" ht="24" thickBot="1" x14ac:dyDescent="0.3">
      <c r="A3" s="2"/>
      <c r="B3" s="5">
        <v>2026</v>
      </c>
      <c r="C3" s="4"/>
      <c r="D3" s="3"/>
      <c r="E3" s="3"/>
      <c r="F3" s="3"/>
      <c r="G3" s="3"/>
      <c r="H3" s="3"/>
      <c r="I3" s="3"/>
      <c r="J3" s="2"/>
    </row>
    <row r="4" spans="1:10" ht="30" customHeight="1" x14ac:dyDescent="0.25">
      <c r="A4" s="2"/>
      <c r="B4" s="68" t="s">
        <v>65</v>
      </c>
      <c r="C4" s="6" t="s">
        <v>23</v>
      </c>
      <c r="D4" s="65" t="s">
        <v>67</v>
      </c>
      <c r="E4" s="65" t="s">
        <v>68</v>
      </c>
      <c r="F4" s="170" t="s">
        <v>69</v>
      </c>
      <c r="G4" s="170"/>
      <c r="H4" s="66" t="s">
        <v>73</v>
      </c>
      <c r="I4" s="7" t="s">
        <v>70</v>
      </c>
      <c r="J4" s="2"/>
    </row>
    <row r="5" spans="1:10" ht="18.75" x14ac:dyDescent="0.25">
      <c r="A5" s="2"/>
      <c r="B5" s="189" t="s">
        <v>66</v>
      </c>
      <c r="C5" s="142" t="s">
        <v>40</v>
      </c>
      <c r="D5" s="16" t="s">
        <v>46</v>
      </c>
      <c r="E5" s="16" t="s">
        <v>85</v>
      </c>
      <c r="F5" s="16">
        <v>0.375</v>
      </c>
      <c r="G5" s="16">
        <v>0.39583333333333331</v>
      </c>
      <c r="H5" s="178">
        <v>10</v>
      </c>
      <c r="I5" s="125" t="s">
        <v>90</v>
      </c>
      <c r="J5" s="2"/>
    </row>
    <row r="6" spans="1:10" ht="19.5" thickBot="1" x14ac:dyDescent="0.3">
      <c r="A6" s="2"/>
      <c r="B6" s="189"/>
      <c r="C6" s="143"/>
      <c r="D6" s="67" t="s">
        <v>46</v>
      </c>
      <c r="E6" s="67" t="s">
        <v>85</v>
      </c>
      <c r="F6" s="67">
        <v>0.72916666666666663</v>
      </c>
      <c r="G6" s="67">
        <v>0.75</v>
      </c>
      <c r="H6" s="179"/>
      <c r="I6" s="144"/>
      <c r="J6" s="2"/>
    </row>
    <row r="7" spans="1:10" ht="18.75" x14ac:dyDescent="0.25">
      <c r="A7" s="2"/>
      <c r="B7" s="189"/>
      <c r="C7" s="191" t="s">
        <v>43</v>
      </c>
      <c r="D7" s="72" t="s">
        <v>48</v>
      </c>
      <c r="E7" s="69" t="s">
        <v>85</v>
      </c>
      <c r="F7" s="69">
        <v>0.38541666666666669</v>
      </c>
      <c r="G7" s="69">
        <v>0.41666666666666669</v>
      </c>
      <c r="H7" s="174">
        <v>16</v>
      </c>
      <c r="I7" s="171" t="s">
        <v>91</v>
      </c>
      <c r="J7" s="2"/>
    </row>
    <row r="8" spans="1:10" ht="18.75" x14ac:dyDescent="0.25">
      <c r="A8" s="2"/>
      <c r="B8" s="189"/>
      <c r="C8" s="192"/>
      <c r="D8" s="23" t="s">
        <v>48</v>
      </c>
      <c r="E8" s="60" t="s">
        <v>85</v>
      </c>
      <c r="F8" s="60">
        <v>0.72916666666666663</v>
      </c>
      <c r="G8" s="60">
        <v>0.76041666666666663</v>
      </c>
      <c r="H8" s="175"/>
      <c r="I8" s="167"/>
      <c r="J8" s="10"/>
    </row>
    <row r="9" spans="1:10" ht="18.75" x14ac:dyDescent="0.25">
      <c r="A9" s="2"/>
      <c r="B9" s="189"/>
      <c r="C9" s="192"/>
      <c r="D9" s="23" t="s">
        <v>49</v>
      </c>
      <c r="E9" s="60" t="s">
        <v>85</v>
      </c>
      <c r="F9" s="60">
        <v>0.76041666666666663</v>
      </c>
      <c r="G9" s="60">
        <v>0.79166666666666663</v>
      </c>
      <c r="H9" s="175"/>
      <c r="I9" s="167" t="s">
        <v>92</v>
      </c>
      <c r="J9" s="10"/>
    </row>
    <row r="10" spans="1:10" ht="19.5" thickBot="1" x14ac:dyDescent="0.3">
      <c r="A10" s="2"/>
      <c r="B10" s="189"/>
      <c r="C10" s="193"/>
      <c r="D10" s="30"/>
      <c r="E10" s="71"/>
      <c r="F10" s="71"/>
      <c r="G10" s="71"/>
      <c r="H10" s="176"/>
      <c r="I10" s="168"/>
      <c r="J10" s="10"/>
    </row>
    <row r="11" spans="1:10" ht="18.75" x14ac:dyDescent="0.25">
      <c r="A11" s="2"/>
      <c r="B11" s="189"/>
      <c r="C11" s="194" t="s">
        <v>71</v>
      </c>
      <c r="D11" s="75" t="s">
        <v>74</v>
      </c>
      <c r="E11" s="76" t="s">
        <v>86</v>
      </c>
      <c r="F11" s="76">
        <v>0.42708333333333331</v>
      </c>
      <c r="G11" s="76">
        <v>0.45833333333333331</v>
      </c>
      <c r="H11" s="180">
        <v>14</v>
      </c>
      <c r="I11" s="77" t="s">
        <v>93</v>
      </c>
      <c r="J11" s="10"/>
    </row>
    <row r="12" spans="1:10" ht="18.75" x14ac:dyDescent="0.25">
      <c r="A12" s="2"/>
      <c r="B12" s="189"/>
      <c r="C12" s="195"/>
      <c r="D12" s="78" t="s">
        <v>74</v>
      </c>
      <c r="E12" s="61" t="s">
        <v>85</v>
      </c>
      <c r="F12" s="61">
        <v>0.42708333333333331</v>
      </c>
      <c r="G12" s="61">
        <v>0.45833333333333331</v>
      </c>
      <c r="H12" s="181"/>
      <c r="I12" s="57" t="s">
        <v>91</v>
      </c>
      <c r="J12" s="10"/>
    </row>
    <row r="13" spans="1:10" ht="18.75" x14ac:dyDescent="0.25">
      <c r="A13" s="2"/>
      <c r="B13" s="189"/>
      <c r="C13" s="195"/>
      <c r="D13" s="78" t="s">
        <v>74</v>
      </c>
      <c r="E13" s="61" t="s">
        <v>85</v>
      </c>
      <c r="F13" s="61">
        <v>0.73958333333333337</v>
      </c>
      <c r="G13" s="61">
        <v>0.77083333333333337</v>
      </c>
      <c r="H13" s="181"/>
      <c r="I13" s="172" t="s">
        <v>93</v>
      </c>
      <c r="J13" s="10"/>
    </row>
    <row r="14" spans="1:10" ht="18.75" x14ac:dyDescent="0.25">
      <c r="A14" s="2"/>
      <c r="B14" s="189"/>
      <c r="C14" s="195"/>
      <c r="D14" s="78" t="s">
        <v>75</v>
      </c>
      <c r="E14" s="61" t="s">
        <v>85</v>
      </c>
      <c r="F14" s="61">
        <v>0.42708333333333331</v>
      </c>
      <c r="G14" s="61">
        <v>0.45833333333333331</v>
      </c>
      <c r="H14" s="181"/>
      <c r="I14" s="172"/>
      <c r="J14" s="10"/>
    </row>
    <row r="15" spans="1:10" ht="18.75" x14ac:dyDescent="0.25">
      <c r="A15" s="2"/>
      <c r="B15" s="189"/>
      <c r="C15" s="195"/>
      <c r="D15" s="78" t="s">
        <v>75</v>
      </c>
      <c r="E15" s="61" t="s">
        <v>85</v>
      </c>
      <c r="F15" s="61">
        <v>0.77083333333333337</v>
      </c>
      <c r="G15" s="61">
        <v>0.80208333333333337</v>
      </c>
      <c r="H15" s="181"/>
      <c r="I15" s="172"/>
      <c r="J15" s="10"/>
    </row>
    <row r="16" spans="1:10" ht="18.75" x14ac:dyDescent="0.25">
      <c r="A16" s="2"/>
      <c r="B16" s="189"/>
      <c r="C16" s="195"/>
      <c r="D16" s="78" t="s">
        <v>76</v>
      </c>
      <c r="E16" s="61" t="s">
        <v>85</v>
      </c>
      <c r="F16" s="61">
        <v>0.39583333333333331</v>
      </c>
      <c r="G16" s="61">
        <v>0.42708333333333331</v>
      </c>
      <c r="H16" s="181"/>
      <c r="I16" s="172"/>
      <c r="J16" s="10"/>
    </row>
    <row r="17" spans="1:10" ht="18.75" x14ac:dyDescent="0.25">
      <c r="A17" s="2"/>
      <c r="B17" s="189"/>
      <c r="C17" s="195"/>
      <c r="D17" s="78" t="s">
        <v>76</v>
      </c>
      <c r="E17" s="61" t="s">
        <v>86</v>
      </c>
      <c r="F17" s="61">
        <v>0.73958333333333337</v>
      </c>
      <c r="G17" s="61">
        <v>0.77083333333333337</v>
      </c>
      <c r="H17" s="181"/>
      <c r="I17" s="172"/>
      <c r="J17" s="10"/>
    </row>
    <row r="18" spans="1:10" ht="18.75" x14ac:dyDescent="0.25">
      <c r="A18" s="2"/>
      <c r="B18" s="189"/>
      <c r="C18" s="195"/>
      <c r="D18" s="78" t="s">
        <v>77</v>
      </c>
      <c r="E18" s="61" t="s">
        <v>85</v>
      </c>
      <c r="F18" s="61">
        <v>0.36458333333333331</v>
      </c>
      <c r="G18" s="61">
        <v>0.39583333333333331</v>
      </c>
      <c r="H18" s="181"/>
      <c r="I18" s="172"/>
      <c r="J18" s="10"/>
    </row>
    <row r="19" spans="1:10" ht="19.5" thickBot="1" x14ac:dyDescent="0.3">
      <c r="A19" s="2"/>
      <c r="B19" s="189"/>
      <c r="C19" s="195"/>
      <c r="D19" s="79" t="s">
        <v>77</v>
      </c>
      <c r="E19" s="80" t="s">
        <v>85</v>
      </c>
      <c r="F19" s="80">
        <v>0.66666666666666663</v>
      </c>
      <c r="G19" s="80">
        <v>0.69791666666666663</v>
      </c>
      <c r="H19" s="182"/>
      <c r="I19" s="173"/>
      <c r="J19" s="10"/>
    </row>
    <row r="20" spans="1:10" ht="18.75" x14ac:dyDescent="0.25">
      <c r="A20" s="2"/>
      <c r="B20" s="189"/>
      <c r="C20" s="195"/>
      <c r="D20" s="81" t="s">
        <v>78</v>
      </c>
      <c r="E20" s="82" t="s">
        <v>85</v>
      </c>
      <c r="F20" s="82">
        <v>0.33333333333333331</v>
      </c>
      <c r="G20" s="82">
        <v>0.36458333333333331</v>
      </c>
      <c r="H20" s="183">
        <v>12</v>
      </c>
      <c r="I20" s="83" t="s">
        <v>93</v>
      </c>
      <c r="J20" s="10"/>
    </row>
    <row r="21" spans="1:10" ht="18.75" x14ac:dyDescent="0.25">
      <c r="A21" s="2"/>
      <c r="B21" s="189"/>
      <c r="C21" s="195"/>
      <c r="D21" s="84" t="s">
        <v>78</v>
      </c>
      <c r="E21" s="62" t="s">
        <v>85</v>
      </c>
      <c r="F21" s="62">
        <v>0.45833333333333331</v>
      </c>
      <c r="G21" s="62">
        <v>0.48958333333333331</v>
      </c>
      <c r="H21" s="184"/>
      <c r="I21" s="58" t="s">
        <v>94</v>
      </c>
      <c r="J21" s="10"/>
    </row>
    <row r="22" spans="1:10" ht="18.75" x14ac:dyDescent="0.25">
      <c r="A22" s="2"/>
      <c r="B22" s="189"/>
      <c r="C22" s="195"/>
      <c r="D22" s="84" t="s">
        <v>78</v>
      </c>
      <c r="E22" s="62" t="s">
        <v>86</v>
      </c>
      <c r="F22" s="62">
        <v>0.69791666666666663</v>
      </c>
      <c r="G22" s="62">
        <v>0.72916666666666663</v>
      </c>
      <c r="H22" s="184"/>
      <c r="I22" s="58" t="s">
        <v>93</v>
      </c>
      <c r="J22" s="10"/>
    </row>
    <row r="23" spans="1:10" ht="18.75" x14ac:dyDescent="0.25">
      <c r="A23" s="2"/>
      <c r="B23" s="189"/>
      <c r="C23" s="195"/>
      <c r="D23" s="84" t="s">
        <v>78</v>
      </c>
      <c r="E23" s="62" t="s">
        <v>86</v>
      </c>
      <c r="F23" s="62">
        <v>0.73958333333333337</v>
      </c>
      <c r="G23" s="62">
        <v>0.77083333333333337</v>
      </c>
      <c r="H23" s="184"/>
      <c r="I23" s="58" t="s">
        <v>92</v>
      </c>
      <c r="J23" s="10"/>
    </row>
    <row r="24" spans="1:10" ht="19.5" thickBot="1" x14ac:dyDescent="0.3">
      <c r="A24" s="2"/>
      <c r="B24" s="189"/>
      <c r="C24" s="195"/>
      <c r="D24" s="85" t="s">
        <v>78</v>
      </c>
      <c r="E24" s="86" t="s">
        <v>35</v>
      </c>
      <c r="F24" s="86">
        <v>0.41666666666666669</v>
      </c>
      <c r="G24" s="86">
        <v>0.46875</v>
      </c>
      <c r="H24" s="185"/>
      <c r="I24" s="87" t="s">
        <v>94</v>
      </c>
      <c r="J24" s="10"/>
    </row>
    <row r="25" spans="1:10" ht="18.75" x14ac:dyDescent="0.25">
      <c r="A25" s="2"/>
      <c r="B25" s="189"/>
      <c r="C25" s="195"/>
      <c r="D25" s="88" t="s">
        <v>79</v>
      </c>
      <c r="E25" s="89" t="s">
        <v>86</v>
      </c>
      <c r="F25" s="89">
        <v>0.39583333333333331</v>
      </c>
      <c r="G25" s="89">
        <v>0.42708333333333331</v>
      </c>
      <c r="H25" s="186">
        <v>14</v>
      </c>
      <c r="I25" s="164" t="s">
        <v>93</v>
      </c>
      <c r="J25" s="10"/>
    </row>
    <row r="26" spans="1:10" ht="18.75" x14ac:dyDescent="0.25">
      <c r="A26" s="2"/>
      <c r="B26" s="189"/>
      <c r="C26" s="195"/>
      <c r="D26" s="90" t="s">
        <v>79</v>
      </c>
      <c r="E26" s="63" t="s">
        <v>86</v>
      </c>
      <c r="F26" s="63">
        <v>0.77083333333333337</v>
      </c>
      <c r="G26" s="63">
        <v>0.80208333333333337</v>
      </c>
      <c r="H26" s="187"/>
      <c r="I26" s="165"/>
      <c r="J26" s="10"/>
    </row>
    <row r="27" spans="1:10" ht="18.75" x14ac:dyDescent="0.25">
      <c r="A27" s="2"/>
      <c r="B27" s="189"/>
      <c r="C27" s="195"/>
      <c r="D27" s="90" t="s">
        <v>80</v>
      </c>
      <c r="E27" s="63" t="s">
        <v>86</v>
      </c>
      <c r="F27" s="63">
        <v>0.36458333333333331</v>
      </c>
      <c r="G27" s="63">
        <v>0.39583333333333331</v>
      </c>
      <c r="H27" s="187"/>
      <c r="I27" s="165"/>
      <c r="J27" s="10"/>
    </row>
    <row r="28" spans="1:10" ht="19.5" thickBot="1" x14ac:dyDescent="0.3">
      <c r="A28" s="2"/>
      <c r="B28" s="189"/>
      <c r="C28" s="195"/>
      <c r="D28" s="91" t="s">
        <v>80</v>
      </c>
      <c r="E28" s="92" t="s">
        <v>86</v>
      </c>
      <c r="F28" s="92">
        <v>0.66666666666666663</v>
      </c>
      <c r="G28" s="92">
        <v>0.69791666666666663</v>
      </c>
      <c r="H28" s="188"/>
      <c r="I28" s="166"/>
      <c r="J28" s="10"/>
    </row>
    <row r="29" spans="1:10" ht="18.75" x14ac:dyDescent="0.25">
      <c r="A29" s="2"/>
      <c r="B29" s="189"/>
      <c r="C29" s="195"/>
      <c r="D29" s="93" t="s">
        <v>81</v>
      </c>
      <c r="E29" s="69" t="s">
        <v>86</v>
      </c>
      <c r="F29" s="69">
        <v>0.33333333333333331</v>
      </c>
      <c r="G29" s="69">
        <v>0.36458333333333331</v>
      </c>
      <c r="H29" s="174">
        <v>12</v>
      </c>
      <c r="I29" s="94" t="s">
        <v>93</v>
      </c>
      <c r="J29" s="10"/>
    </row>
    <row r="30" spans="1:10" ht="18.75" x14ac:dyDescent="0.25">
      <c r="A30" s="2"/>
      <c r="B30" s="189"/>
      <c r="C30" s="195"/>
      <c r="D30" s="25" t="s">
        <v>81</v>
      </c>
      <c r="E30" s="60" t="s">
        <v>86</v>
      </c>
      <c r="F30" s="60">
        <v>0.80208333333333337</v>
      </c>
      <c r="G30" s="60">
        <v>0.83333333333333337</v>
      </c>
      <c r="H30" s="175"/>
      <c r="I30" s="167" t="s">
        <v>94</v>
      </c>
      <c r="J30" s="10"/>
    </row>
    <row r="31" spans="1:10" ht="19.5" thickBot="1" x14ac:dyDescent="0.3">
      <c r="A31" s="2"/>
      <c r="B31" s="189"/>
      <c r="C31" s="195"/>
      <c r="D31" s="33" t="s">
        <v>81</v>
      </c>
      <c r="E31" s="70" t="s">
        <v>35</v>
      </c>
      <c r="F31" s="70">
        <v>0.36458333333333331</v>
      </c>
      <c r="G31" s="70">
        <v>0.41666666666666669</v>
      </c>
      <c r="H31" s="176"/>
      <c r="I31" s="168"/>
      <c r="J31" s="10"/>
    </row>
    <row r="32" spans="1:10" ht="18.75" x14ac:dyDescent="0.25">
      <c r="A32" s="2"/>
      <c r="B32" s="189"/>
      <c r="C32" s="195"/>
      <c r="D32" s="75" t="s">
        <v>83</v>
      </c>
      <c r="E32" s="76" t="s">
        <v>85</v>
      </c>
      <c r="F32" s="76">
        <v>0.69791666666666663</v>
      </c>
      <c r="G32" s="76">
        <v>0.72916666666666663</v>
      </c>
      <c r="H32" s="95">
        <v>14</v>
      </c>
      <c r="I32" s="96" t="s">
        <v>93</v>
      </c>
      <c r="J32" s="10"/>
    </row>
    <row r="33" spans="1:10" ht="18.75" x14ac:dyDescent="0.25">
      <c r="A33" s="2"/>
      <c r="B33" s="189"/>
      <c r="C33" s="195"/>
      <c r="D33" s="84" t="s">
        <v>84</v>
      </c>
      <c r="E33" s="62" t="s">
        <v>85</v>
      </c>
      <c r="F33" s="62">
        <v>0.80208333333333337</v>
      </c>
      <c r="G33" s="62">
        <v>0.83333333333333337</v>
      </c>
      <c r="H33" s="64">
        <v>12</v>
      </c>
      <c r="I33" s="59" t="s">
        <v>93</v>
      </c>
      <c r="J33" s="10"/>
    </row>
    <row r="34" spans="1:10" ht="19.5" thickBot="1" x14ac:dyDescent="0.3">
      <c r="A34" s="2"/>
      <c r="B34" s="189"/>
      <c r="C34" s="196"/>
      <c r="D34" s="79" t="s">
        <v>82</v>
      </c>
      <c r="E34" s="80" t="s">
        <v>85</v>
      </c>
      <c r="F34" s="80">
        <v>0.5</v>
      </c>
      <c r="G34" s="80">
        <v>0.53125</v>
      </c>
      <c r="H34" s="97">
        <v>20</v>
      </c>
      <c r="I34" s="98" t="s">
        <v>94</v>
      </c>
      <c r="J34" s="10"/>
    </row>
    <row r="35" spans="1:10" ht="18.75" x14ac:dyDescent="0.25">
      <c r="A35" s="2"/>
      <c r="B35" s="189"/>
      <c r="C35" s="197" t="s">
        <v>44</v>
      </c>
      <c r="D35" s="99" t="s">
        <v>48</v>
      </c>
      <c r="E35" s="69" t="s">
        <v>87</v>
      </c>
      <c r="F35" s="69">
        <v>0.73611111111111116</v>
      </c>
      <c r="G35" s="69">
        <v>0.77083333333333337</v>
      </c>
      <c r="H35" s="174">
        <v>20</v>
      </c>
      <c r="I35" s="100" t="s">
        <v>91</v>
      </c>
      <c r="J35" s="10"/>
    </row>
    <row r="36" spans="1:10" ht="18.75" x14ac:dyDescent="0.25">
      <c r="A36" s="2"/>
      <c r="B36" s="189"/>
      <c r="C36" s="155"/>
      <c r="D36" s="27" t="s">
        <v>48</v>
      </c>
      <c r="E36" s="60" t="s">
        <v>85</v>
      </c>
      <c r="F36" s="60">
        <v>0.75</v>
      </c>
      <c r="G36" s="60">
        <v>0.78472222222222221</v>
      </c>
      <c r="H36" s="175"/>
      <c r="I36" s="24" t="s">
        <v>94</v>
      </c>
      <c r="J36" s="10"/>
    </row>
    <row r="37" spans="1:10" ht="18.75" x14ac:dyDescent="0.25">
      <c r="A37" s="2"/>
      <c r="B37" s="189"/>
      <c r="C37" s="155"/>
      <c r="D37" s="27" t="s">
        <v>49</v>
      </c>
      <c r="E37" s="60" t="s">
        <v>87</v>
      </c>
      <c r="F37" s="60">
        <v>0.77083333333333337</v>
      </c>
      <c r="G37" s="60">
        <v>0.80555555555555558</v>
      </c>
      <c r="H37" s="175"/>
      <c r="I37" s="24" t="s">
        <v>91</v>
      </c>
      <c r="J37" s="10"/>
    </row>
    <row r="38" spans="1:10" ht="18.75" x14ac:dyDescent="0.25">
      <c r="A38" s="2"/>
      <c r="B38" s="189"/>
      <c r="C38" s="155"/>
      <c r="D38" s="27" t="s">
        <v>49</v>
      </c>
      <c r="E38" s="60" t="s">
        <v>85</v>
      </c>
      <c r="F38" s="60">
        <v>0.78472222222222221</v>
      </c>
      <c r="G38" s="60">
        <v>0.81944444444444442</v>
      </c>
      <c r="H38" s="175"/>
      <c r="I38" s="24" t="s">
        <v>94</v>
      </c>
      <c r="J38" s="10"/>
    </row>
    <row r="39" spans="1:10" ht="18.75" x14ac:dyDescent="0.25">
      <c r="A39" s="2"/>
      <c r="B39" s="189"/>
      <c r="C39" s="155"/>
      <c r="D39" s="27" t="s">
        <v>50</v>
      </c>
      <c r="E39" s="60" t="s">
        <v>87</v>
      </c>
      <c r="F39" s="60">
        <v>0.80555555555555558</v>
      </c>
      <c r="G39" s="60">
        <v>0.84027777777777779</v>
      </c>
      <c r="H39" s="175"/>
      <c r="I39" s="24" t="s">
        <v>91</v>
      </c>
      <c r="J39" s="10"/>
    </row>
    <row r="40" spans="1:10" ht="18.75" x14ac:dyDescent="0.25">
      <c r="A40" s="2"/>
      <c r="B40" s="189"/>
      <c r="C40" s="155"/>
      <c r="D40" s="27" t="s">
        <v>50</v>
      </c>
      <c r="E40" s="60" t="s">
        <v>85</v>
      </c>
      <c r="F40" s="60">
        <v>0.81944444444444442</v>
      </c>
      <c r="G40" s="60">
        <v>0.85416666666666663</v>
      </c>
      <c r="H40" s="175"/>
      <c r="I40" s="24" t="s">
        <v>94</v>
      </c>
      <c r="J40" s="10"/>
    </row>
    <row r="41" spans="1:10" ht="19.5" thickBot="1" x14ac:dyDescent="0.3">
      <c r="A41" s="2"/>
      <c r="B41" s="189"/>
      <c r="C41" s="156"/>
      <c r="D41" s="32" t="s">
        <v>51</v>
      </c>
      <c r="E41" s="70" t="s">
        <v>87</v>
      </c>
      <c r="F41" s="70">
        <v>0.6875</v>
      </c>
      <c r="G41" s="70">
        <v>0.72222222222222221</v>
      </c>
      <c r="H41" s="176"/>
      <c r="I41" s="31" t="s">
        <v>91</v>
      </c>
      <c r="J41" s="10"/>
    </row>
    <row r="42" spans="1:10" ht="18.75" x14ac:dyDescent="0.25">
      <c r="A42" s="2"/>
      <c r="B42" s="189"/>
      <c r="C42" s="194" t="s">
        <v>72</v>
      </c>
      <c r="D42" s="101" t="s">
        <v>48</v>
      </c>
      <c r="E42" s="102" t="s">
        <v>88</v>
      </c>
      <c r="F42" s="102">
        <v>0.40972222222222221</v>
      </c>
      <c r="G42" s="102">
        <v>0.44444444444444442</v>
      </c>
      <c r="H42" s="177">
        <v>12</v>
      </c>
      <c r="I42" s="169" t="s">
        <v>94</v>
      </c>
      <c r="J42" s="10"/>
    </row>
    <row r="43" spans="1:10" ht="18.75" x14ac:dyDescent="0.25">
      <c r="A43" s="2"/>
      <c r="B43" s="189"/>
      <c r="C43" s="195"/>
      <c r="D43" s="15" t="s">
        <v>48</v>
      </c>
      <c r="E43" s="16" t="s">
        <v>89</v>
      </c>
      <c r="F43" s="16">
        <v>0.40972222222222221</v>
      </c>
      <c r="G43" s="16">
        <v>0.44444444444444442</v>
      </c>
      <c r="H43" s="178"/>
      <c r="I43" s="125"/>
      <c r="J43" s="10"/>
    </row>
    <row r="44" spans="1:10" ht="18.75" x14ac:dyDescent="0.25">
      <c r="A44" s="2"/>
      <c r="B44" s="189"/>
      <c r="C44" s="195"/>
      <c r="D44" s="15" t="s">
        <v>49</v>
      </c>
      <c r="E44" s="16" t="s">
        <v>88</v>
      </c>
      <c r="F44" s="16">
        <v>0.375</v>
      </c>
      <c r="G44" s="16">
        <v>0.40972222222222221</v>
      </c>
      <c r="H44" s="178"/>
      <c r="I44" s="125"/>
      <c r="J44" s="10"/>
    </row>
    <row r="45" spans="1:10" ht="19.5" thickBot="1" x14ac:dyDescent="0.3">
      <c r="A45" s="2"/>
      <c r="B45" s="189"/>
      <c r="C45" s="196"/>
      <c r="D45" s="17" t="s">
        <v>49</v>
      </c>
      <c r="E45" s="67" t="s">
        <v>88</v>
      </c>
      <c r="F45" s="67">
        <v>0.66666666666666663</v>
      </c>
      <c r="G45" s="67">
        <v>0.70138888888888884</v>
      </c>
      <c r="H45" s="179"/>
      <c r="I45" s="144"/>
      <c r="J45" s="10"/>
    </row>
    <row r="46" spans="1:10" ht="19.5" thickBot="1" x14ac:dyDescent="0.3">
      <c r="A46" s="2"/>
      <c r="B46" s="189"/>
      <c r="C46" s="73" t="s">
        <v>42</v>
      </c>
      <c r="D46" s="106" t="s">
        <v>47</v>
      </c>
      <c r="E46" s="107" t="s">
        <v>85</v>
      </c>
      <c r="F46" s="107">
        <v>0.625</v>
      </c>
      <c r="G46" s="107">
        <v>0.65972222222222221</v>
      </c>
      <c r="H46" s="108">
        <v>24</v>
      </c>
      <c r="I46" s="109" t="s">
        <v>91</v>
      </c>
      <c r="J46" s="10"/>
    </row>
    <row r="47" spans="1:10" ht="19.5" thickBot="1" x14ac:dyDescent="0.3">
      <c r="A47" s="2"/>
      <c r="B47" s="190"/>
      <c r="C47" s="74" t="s">
        <v>41</v>
      </c>
      <c r="D47" s="103" t="s">
        <v>28</v>
      </c>
      <c r="E47" s="104" t="s">
        <v>85</v>
      </c>
      <c r="F47" s="104">
        <v>0.66666666666666663</v>
      </c>
      <c r="G47" s="104">
        <v>0.70138888888888884</v>
      </c>
      <c r="H47" s="105">
        <v>20</v>
      </c>
      <c r="I47" s="44" t="s">
        <v>91</v>
      </c>
      <c r="J47" s="10"/>
    </row>
    <row r="48" spans="1:10" x14ac:dyDescent="0.25">
      <c r="A48" s="2"/>
      <c r="B48" s="2"/>
      <c r="C48" s="10"/>
      <c r="D48" s="10"/>
      <c r="E48" s="10"/>
      <c r="F48" s="10"/>
      <c r="G48" s="10"/>
      <c r="H48" s="10"/>
      <c r="I48" s="10"/>
      <c r="J48" s="10"/>
    </row>
  </sheetData>
  <mergeCells count="22">
    <mergeCell ref="B5:B47"/>
    <mergeCell ref="C5:C6"/>
    <mergeCell ref="C7:C10"/>
    <mergeCell ref="C11:C34"/>
    <mergeCell ref="C35:C41"/>
    <mergeCell ref="C42:C45"/>
    <mergeCell ref="I25:I28"/>
    <mergeCell ref="I30:I31"/>
    <mergeCell ref="I42:I45"/>
    <mergeCell ref="F4:G4"/>
    <mergeCell ref="I5:I6"/>
    <mergeCell ref="I7:I8"/>
    <mergeCell ref="I9:I10"/>
    <mergeCell ref="I13:I19"/>
    <mergeCell ref="H35:H41"/>
    <mergeCell ref="H42:H45"/>
    <mergeCell ref="H5:H6"/>
    <mergeCell ref="H7:H10"/>
    <mergeCell ref="H11:H19"/>
    <mergeCell ref="H20:H24"/>
    <mergeCell ref="H25:H28"/>
    <mergeCell ref="H29:H31"/>
  </mergeCells>
  <phoneticPr fontId="1" type="noConversion"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596D-C42B-4E41-8119-64DE3FD139F1}">
  <dimension ref="A1:F74"/>
  <sheetViews>
    <sheetView tabSelected="1" topLeftCell="A7" workbookViewId="0">
      <selection activeCell="G28" sqref="G28"/>
    </sheetView>
  </sheetViews>
  <sheetFormatPr defaultRowHeight="15" x14ac:dyDescent="0.25"/>
  <cols>
    <col min="1" max="3" width="10.7109375" style="110" customWidth="1"/>
    <col min="4" max="5" width="18.7109375" style="110" customWidth="1"/>
    <col min="6" max="6" width="10.7109375" style="110" customWidth="1"/>
    <col min="7" max="16384" width="9.140625" style="110"/>
  </cols>
  <sheetData>
    <row r="1" spans="1:6" x14ac:dyDescent="0.25">
      <c r="A1" s="111" t="s">
        <v>97</v>
      </c>
      <c r="B1" s="111" t="s">
        <v>98</v>
      </c>
      <c r="C1" s="111" t="s">
        <v>99</v>
      </c>
      <c r="D1" s="111" t="s">
        <v>23</v>
      </c>
      <c r="E1" s="111" t="s">
        <v>100</v>
      </c>
      <c r="F1" s="111" t="s">
        <v>101</v>
      </c>
    </row>
    <row r="2" spans="1:6" s="1" customFormat="1" x14ac:dyDescent="0.25">
      <c r="A2" s="1" t="str">
        <f ca="1">CHOOSE(WEEKDAY(TODAY(),2),"SEG","TER","QUA","QUI","SEX","SAB","DOM")</f>
        <v>DOM</v>
      </c>
      <c r="B2" s="112">
        <v>0.45833333333333331</v>
      </c>
      <c r="C2" s="112">
        <v>0.90625</v>
      </c>
      <c r="D2" s="1" t="s">
        <v>106</v>
      </c>
      <c r="E2" s="1" t="s">
        <v>95</v>
      </c>
      <c r="F2" s="1" t="s">
        <v>96</v>
      </c>
    </row>
    <row r="3" spans="1:6" x14ac:dyDescent="0.25">
      <c r="A3" s="1" t="str">
        <f ca="1">CHOOSE(WEEKDAY(TODAY(),2),"SEG","TER","QUA","QUI","SEX","SAB","DOM")</f>
        <v>DOM</v>
      </c>
      <c r="B3" s="112">
        <v>0.45833333333333331</v>
      </c>
      <c r="C3" s="112">
        <v>0.90625</v>
      </c>
      <c r="D3" s="110" t="s">
        <v>107</v>
      </c>
      <c r="E3" s="110" t="s">
        <v>102</v>
      </c>
      <c r="F3" s="110" t="s">
        <v>96</v>
      </c>
    </row>
    <row r="4" spans="1:6" x14ac:dyDescent="0.25">
      <c r="A4" s="1" t="str">
        <f t="shared" ref="A4:A11" ca="1" si="0">CHOOSE(WEEKDAY(TODAY(),2),"SEG","TER","QUA","QUI","SEX","SAB","DOM")</f>
        <v>DOM</v>
      </c>
      <c r="B4" s="112">
        <v>0.45833333333333331</v>
      </c>
      <c r="C4" s="112">
        <v>0.90625</v>
      </c>
      <c r="D4" s="110" t="s">
        <v>108</v>
      </c>
      <c r="E4" s="110" t="s">
        <v>103</v>
      </c>
      <c r="F4" s="110" t="s">
        <v>105</v>
      </c>
    </row>
    <row r="5" spans="1:6" x14ac:dyDescent="0.25">
      <c r="A5" s="1" t="str">
        <f t="shared" ca="1" si="0"/>
        <v>DOM</v>
      </c>
      <c r="B5" s="112">
        <v>0.45833333333333331</v>
      </c>
      <c r="C5" s="112">
        <v>0.90625</v>
      </c>
      <c r="D5" s="110" t="s">
        <v>109</v>
      </c>
      <c r="E5" s="110" t="s">
        <v>104</v>
      </c>
      <c r="F5" s="110" t="s">
        <v>105</v>
      </c>
    </row>
    <row r="6" spans="1:6" x14ac:dyDescent="0.25">
      <c r="A6" s="1" t="str">
        <f t="shared" ca="1" si="0"/>
        <v>DOM</v>
      </c>
      <c r="B6" s="112">
        <v>0.45833333333333331</v>
      </c>
      <c r="C6" s="112">
        <v>0.90625</v>
      </c>
      <c r="D6" s="110" t="s">
        <v>108</v>
      </c>
      <c r="E6" s="110" t="s">
        <v>103</v>
      </c>
      <c r="F6" s="110" t="s">
        <v>105</v>
      </c>
    </row>
    <row r="7" spans="1:6" x14ac:dyDescent="0.25">
      <c r="A7" s="1" t="str">
        <f ca="1">CHOOSE(WEEKDAY(TODAY(),2),"SEG","TER","QUA","QUI","SEX","SAB","DOM")</f>
        <v>DOM</v>
      </c>
      <c r="B7" s="112">
        <v>0.54166666666666663</v>
      </c>
      <c r="C7" s="112">
        <v>0.90625</v>
      </c>
      <c r="D7" s="1" t="s">
        <v>106</v>
      </c>
      <c r="E7" s="1" t="s">
        <v>95</v>
      </c>
      <c r="F7" s="1" t="s">
        <v>96</v>
      </c>
    </row>
    <row r="8" spans="1:6" x14ac:dyDescent="0.25">
      <c r="A8" s="1" t="str">
        <f ca="1">CHOOSE(WEEKDAY(TODAY(),2),"SEG","TER","QUA","QUI","SEX","SAB","DOM")</f>
        <v>DOM</v>
      </c>
      <c r="B8" s="112">
        <v>0.54166666666666663</v>
      </c>
      <c r="C8" s="112">
        <v>0.90625</v>
      </c>
      <c r="D8" s="110" t="s">
        <v>107</v>
      </c>
      <c r="E8" s="110" t="s">
        <v>102</v>
      </c>
      <c r="F8" s="110" t="s">
        <v>96</v>
      </c>
    </row>
    <row r="9" spans="1:6" x14ac:dyDescent="0.25">
      <c r="A9" s="1" t="str">
        <f t="shared" ca="1" si="0"/>
        <v>DOM</v>
      </c>
      <c r="B9" s="112">
        <v>0.54166666666666663</v>
      </c>
      <c r="C9" s="112">
        <v>0.90625</v>
      </c>
      <c r="D9" s="110" t="s">
        <v>108</v>
      </c>
      <c r="E9" s="110" t="s">
        <v>103</v>
      </c>
      <c r="F9" s="110" t="s">
        <v>105</v>
      </c>
    </row>
    <row r="10" spans="1:6" x14ac:dyDescent="0.25">
      <c r="A10" s="1" t="str">
        <f t="shared" ca="1" si="0"/>
        <v>DOM</v>
      </c>
      <c r="B10" s="112">
        <v>0.54166666666666663</v>
      </c>
      <c r="C10" s="112">
        <v>0.90625</v>
      </c>
      <c r="D10" s="110" t="s">
        <v>109</v>
      </c>
      <c r="E10" s="110" t="s">
        <v>104</v>
      </c>
      <c r="F10" s="110" t="s">
        <v>105</v>
      </c>
    </row>
    <row r="11" spans="1:6" x14ac:dyDescent="0.25">
      <c r="A11" s="1" t="str">
        <f t="shared" ca="1" si="0"/>
        <v>DOM</v>
      </c>
      <c r="B11" s="112">
        <v>0.54166666666666663</v>
      </c>
      <c r="C11" s="112">
        <v>0.90625</v>
      </c>
      <c r="D11" s="110" t="s">
        <v>108</v>
      </c>
      <c r="E11" s="110" t="s">
        <v>103</v>
      </c>
      <c r="F11" s="110" t="s">
        <v>105</v>
      </c>
    </row>
    <row r="12" spans="1:6" x14ac:dyDescent="0.25">
      <c r="A12" s="1" t="str">
        <f ca="1">CHOOSE(WEEKDAY(TODAY(),2),"SEG","TER","QUA","QUI","SEX","SAB","DOM")</f>
        <v>DOM</v>
      </c>
      <c r="B12" s="112">
        <v>0.58333333333333304</v>
      </c>
      <c r="C12" s="112">
        <v>0.90625</v>
      </c>
      <c r="D12" s="1" t="s">
        <v>106</v>
      </c>
      <c r="E12" s="1" t="s">
        <v>95</v>
      </c>
      <c r="F12" s="1" t="s">
        <v>96</v>
      </c>
    </row>
    <row r="13" spans="1:6" x14ac:dyDescent="0.25">
      <c r="A13" s="1" t="str">
        <f ca="1">CHOOSE(WEEKDAY(TODAY(),2),"SEG","TER","QUA","QUI","SEX","SAB","DOM")</f>
        <v>DOM</v>
      </c>
      <c r="B13" s="112">
        <v>0.58333333333333304</v>
      </c>
      <c r="C13" s="112">
        <v>0.90625</v>
      </c>
      <c r="D13" s="110" t="s">
        <v>107</v>
      </c>
      <c r="E13" s="110" t="s">
        <v>102</v>
      </c>
      <c r="F13" s="110" t="s">
        <v>96</v>
      </c>
    </row>
    <row r="14" spans="1:6" x14ac:dyDescent="0.25">
      <c r="A14" s="1" t="str">
        <f t="shared" ref="A14:A27" ca="1" si="1">CHOOSE(WEEKDAY(TODAY(),2),"SEG","TER","QUA","QUI","SEX","SAB","DOM")</f>
        <v>DOM</v>
      </c>
      <c r="B14" s="112">
        <v>0.58333333333333304</v>
      </c>
      <c r="C14" s="112">
        <v>0.90625</v>
      </c>
      <c r="D14" s="110" t="s">
        <v>108</v>
      </c>
      <c r="E14" s="110" t="s">
        <v>103</v>
      </c>
      <c r="F14" s="110" t="s">
        <v>105</v>
      </c>
    </row>
    <row r="15" spans="1:6" x14ac:dyDescent="0.25">
      <c r="A15" s="1" t="str">
        <f t="shared" ca="1" si="1"/>
        <v>DOM</v>
      </c>
      <c r="B15" s="112">
        <v>0.58333333333333304</v>
      </c>
      <c r="C15" s="112">
        <v>0.90625</v>
      </c>
      <c r="D15" s="110" t="s">
        <v>109</v>
      </c>
      <c r="E15" s="110" t="s">
        <v>104</v>
      </c>
      <c r="F15" s="110" t="s">
        <v>105</v>
      </c>
    </row>
    <row r="16" spans="1:6" x14ac:dyDescent="0.25">
      <c r="A16" s="1" t="str">
        <f t="shared" ca="1" si="1"/>
        <v>DOM</v>
      </c>
      <c r="B16" s="112">
        <v>0.58333333333333304</v>
      </c>
      <c r="C16" s="112">
        <v>0.90625</v>
      </c>
      <c r="D16" s="110" t="s">
        <v>108</v>
      </c>
      <c r="E16" s="110" t="s">
        <v>103</v>
      </c>
      <c r="F16" s="110" t="s">
        <v>105</v>
      </c>
    </row>
    <row r="17" spans="1:6" x14ac:dyDescent="0.25">
      <c r="A17" s="1" t="str">
        <f ca="1">CHOOSE(WEEKDAY(TODAY(),2),"SEG","TER","QUA","QUI","SEX","SAB","DOM")</f>
        <v>DOM</v>
      </c>
      <c r="B17" s="112">
        <v>0.58333333333333304</v>
      </c>
      <c r="C17" s="112">
        <v>0.90625</v>
      </c>
      <c r="D17" s="1" t="s">
        <v>106</v>
      </c>
      <c r="E17" s="1" t="s">
        <v>95</v>
      </c>
      <c r="F17" s="1" t="s">
        <v>96</v>
      </c>
    </row>
    <row r="18" spans="1:6" x14ac:dyDescent="0.25">
      <c r="A18" s="1" t="str">
        <f ca="1">CHOOSE(WEEKDAY(TODAY(),2),"SEG","TER","QUA","QUI","SEX","SAB","DOM")</f>
        <v>DOM</v>
      </c>
      <c r="B18" s="112">
        <v>0.625</v>
      </c>
      <c r="C18" s="112">
        <v>0.90625</v>
      </c>
      <c r="D18" s="110" t="s">
        <v>107</v>
      </c>
      <c r="E18" s="110" t="s">
        <v>102</v>
      </c>
      <c r="F18" s="110" t="s">
        <v>96</v>
      </c>
    </row>
    <row r="19" spans="1:6" x14ac:dyDescent="0.25">
      <c r="A19" s="1" t="str">
        <f t="shared" ca="1" si="1"/>
        <v>DOM</v>
      </c>
      <c r="B19" s="112">
        <v>0.625</v>
      </c>
      <c r="C19" s="112">
        <v>0.90625</v>
      </c>
      <c r="D19" s="110" t="s">
        <v>108</v>
      </c>
      <c r="E19" s="110" t="s">
        <v>103</v>
      </c>
      <c r="F19" s="110" t="s">
        <v>105</v>
      </c>
    </row>
    <row r="20" spans="1:6" x14ac:dyDescent="0.25">
      <c r="A20" s="1" t="str">
        <f t="shared" ca="1" si="1"/>
        <v>DOM</v>
      </c>
      <c r="B20" s="112">
        <v>0.625</v>
      </c>
      <c r="C20" s="112">
        <v>0.90625</v>
      </c>
      <c r="D20" s="110" t="s">
        <v>109</v>
      </c>
      <c r="E20" s="110" t="s">
        <v>104</v>
      </c>
      <c r="F20" s="110" t="s">
        <v>105</v>
      </c>
    </row>
    <row r="21" spans="1:6" x14ac:dyDescent="0.25">
      <c r="A21" s="1" t="str">
        <f t="shared" ca="1" si="1"/>
        <v>DOM</v>
      </c>
      <c r="B21" s="112">
        <v>0.625</v>
      </c>
      <c r="C21" s="112">
        <v>0.90625</v>
      </c>
      <c r="D21" s="1" t="s">
        <v>106</v>
      </c>
      <c r="E21" s="1" t="s">
        <v>95</v>
      </c>
      <c r="F21" s="1" t="s">
        <v>96</v>
      </c>
    </row>
    <row r="22" spans="1:6" x14ac:dyDescent="0.25">
      <c r="A22" s="1" t="str">
        <f t="shared" ca="1" si="1"/>
        <v>DOM</v>
      </c>
      <c r="B22" s="112">
        <v>0.625</v>
      </c>
      <c r="C22" s="112">
        <v>0.90625</v>
      </c>
      <c r="D22" s="110" t="s">
        <v>107</v>
      </c>
      <c r="E22" s="110" t="s">
        <v>102</v>
      </c>
      <c r="F22" s="110" t="s">
        <v>96</v>
      </c>
    </row>
    <row r="23" spans="1:6" x14ac:dyDescent="0.25">
      <c r="A23" s="1" t="str">
        <f t="shared" ca="1" si="1"/>
        <v>DOM</v>
      </c>
      <c r="B23" s="112">
        <v>0.66666666666666696</v>
      </c>
      <c r="C23" s="112">
        <v>0.90625</v>
      </c>
      <c r="D23" s="110" t="s">
        <v>108</v>
      </c>
      <c r="E23" s="110" t="s">
        <v>103</v>
      </c>
      <c r="F23" s="110" t="s">
        <v>105</v>
      </c>
    </row>
    <row r="24" spans="1:6" x14ac:dyDescent="0.25">
      <c r="A24" s="1" t="str">
        <f t="shared" ca="1" si="1"/>
        <v>DOM</v>
      </c>
      <c r="B24" s="112">
        <v>0.66666666666666696</v>
      </c>
      <c r="C24" s="112">
        <v>0.90625</v>
      </c>
      <c r="D24" s="110" t="s">
        <v>109</v>
      </c>
      <c r="E24" s="110" t="s">
        <v>104</v>
      </c>
      <c r="F24" s="110" t="s">
        <v>105</v>
      </c>
    </row>
    <row r="25" spans="1:6" x14ac:dyDescent="0.25">
      <c r="A25" s="1" t="str">
        <f t="shared" ca="1" si="1"/>
        <v>DOM</v>
      </c>
      <c r="B25" s="112">
        <v>0.66666666666666696</v>
      </c>
      <c r="C25" s="112">
        <v>0.90625</v>
      </c>
      <c r="D25" s="110" t="s">
        <v>108</v>
      </c>
      <c r="E25" s="110" t="s">
        <v>103</v>
      </c>
      <c r="F25" s="110" t="s">
        <v>105</v>
      </c>
    </row>
    <row r="26" spans="1:6" x14ac:dyDescent="0.25">
      <c r="A26" s="1" t="str">
        <f t="shared" ca="1" si="1"/>
        <v>DOM</v>
      </c>
      <c r="B26" s="112">
        <v>0.66666666666666696</v>
      </c>
      <c r="C26" s="112">
        <v>0.90625</v>
      </c>
      <c r="D26" s="1" t="s">
        <v>106</v>
      </c>
      <c r="E26" s="1" t="s">
        <v>95</v>
      </c>
      <c r="F26" s="1" t="s">
        <v>96</v>
      </c>
    </row>
    <row r="27" spans="1:6" x14ac:dyDescent="0.25">
      <c r="A27" s="1" t="str">
        <f t="shared" ca="1" si="1"/>
        <v>DOM</v>
      </c>
      <c r="B27" s="112">
        <v>0.66666666666666696</v>
      </c>
      <c r="C27" s="112">
        <v>0.90625</v>
      </c>
      <c r="D27" s="110" t="s">
        <v>107</v>
      </c>
      <c r="E27" s="110" t="s">
        <v>102</v>
      </c>
      <c r="F27" s="110" t="s">
        <v>96</v>
      </c>
    </row>
    <row r="28" spans="1:6" x14ac:dyDescent="0.25">
      <c r="A28" s="1"/>
      <c r="B28" s="112"/>
      <c r="C28" s="112"/>
    </row>
    <row r="29" spans="1:6" x14ac:dyDescent="0.25">
      <c r="A29" s="1"/>
      <c r="B29" s="112"/>
      <c r="C29" s="112"/>
    </row>
    <row r="30" spans="1:6" x14ac:dyDescent="0.25">
      <c r="A30" s="1"/>
      <c r="B30" s="112"/>
      <c r="C30" s="112"/>
      <c r="D30" s="1"/>
      <c r="E30" s="1"/>
      <c r="F30" s="1"/>
    </row>
    <row r="31" spans="1:6" x14ac:dyDescent="0.25">
      <c r="A31" s="1"/>
      <c r="B31" s="112"/>
      <c r="C31" s="112"/>
      <c r="D31" s="1"/>
      <c r="E31" s="1"/>
      <c r="F31" s="1"/>
    </row>
    <row r="32" spans="1:6" x14ac:dyDescent="0.25">
      <c r="A32" s="1"/>
      <c r="B32" s="112"/>
      <c r="C32" s="112"/>
    </row>
    <row r="33" spans="1:6" x14ac:dyDescent="0.25">
      <c r="A33" s="1"/>
      <c r="B33" s="112"/>
      <c r="C33" s="112"/>
    </row>
    <row r="34" spans="1:6" x14ac:dyDescent="0.25">
      <c r="A34" s="1"/>
      <c r="B34" s="112"/>
      <c r="C34" s="112"/>
    </row>
    <row r="35" spans="1:6" x14ac:dyDescent="0.25">
      <c r="A35" s="1"/>
      <c r="B35" s="112"/>
      <c r="C35" s="112"/>
    </row>
    <row r="36" spans="1:6" x14ac:dyDescent="0.25">
      <c r="A36" s="1"/>
      <c r="B36" s="112"/>
      <c r="C36" s="112"/>
    </row>
    <row r="37" spans="1:6" x14ac:dyDescent="0.25">
      <c r="A37" s="1"/>
      <c r="B37" s="112"/>
      <c r="C37" s="112"/>
      <c r="D37" s="1"/>
    </row>
    <row r="38" spans="1:6" x14ac:dyDescent="0.25">
      <c r="A38" s="1"/>
      <c r="B38" s="112"/>
      <c r="C38" s="112"/>
      <c r="E38" s="1"/>
      <c r="F38" s="1"/>
    </row>
    <row r="39" spans="1:6" x14ac:dyDescent="0.25">
      <c r="A39" s="1"/>
      <c r="B39" s="112"/>
      <c r="C39" s="112"/>
    </row>
    <row r="40" spans="1:6" x14ac:dyDescent="0.25">
      <c r="A40" s="1"/>
      <c r="B40" s="112"/>
      <c r="C40" s="112"/>
    </row>
    <row r="41" spans="1:6" x14ac:dyDescent="0.25">
      <c r="A41" s="1"/>
      <c r="B41" s="112"/>
      <c r="C41" s="112"/>
    </row>
    <row r="42" spans="1:6" x14ac:dyDescent="0.25">
      <c r="A42" s="1"/>
      <c r="B42" s="112"/>
      <c r="C42" s="112"/>
    </row>
    <row r="43" spans="1:6" x14ac:dyDescent="0.25">
      <c r="A43" s="1"/>
      <c r="B43" s="112"/>
      <c r="C43" s="112"/>
    </row>
    <row r="44" spans="1:6" x14ac:dyDescent="0.25">
      <c r="A44" s="1"/>
      <c r="B44" s="112"/>
      <c r="C44" s="112"/>
      <c r="D44" s="1"/>
    </row>
    <row r="45" spans="1:6" x14ac:dyDescent="0.25">
      <c r="A45" s="1"/>
      <c r="B45" s="112"/>
      <c r="C45" s="112"/>
    </row>
    <row r="46" spans="1:6" x14ac:dyDescent="0.25">
      <c r="A46" s="1"/>
      <c r="B46" s="112"/>
      <c r="C46" s="112"/>
    </row>
    <row r="47" spans="1:6" x14ac:dyDescent="0.25">
      <c r="A47" s="1"/>
      <c r="B47" s="112"/>
      <c r="C47" s="112"/>
      <c r="E47" s="1"/>
      <c r="F47" s="1"/>
    </row>
    <row r="48" spans="1:6" x14ac:dyDescent="0.25">
      <c r="A48" s="1"/>
      <c r="B48" s="112"/>
      <c r="C48" s="112"/>
    </row>
    <row r="49" spans="1:6" x14ac:dyDescent="0.25">
      <c r="A49" s="1"/>
      <c r="B49" s="112"/>
      <c r="C49" s="112"/>
    </row>
    <row r="50" spans="1:6" x14ac:dyDescent="0.25">
      <c r="A50" s="1"/>
      <c r="B50" s="112"/>
      <c r="C50" s="112"/>
    </row>
    <row r="51" spans="1:6" x14ac:dyDescent="0.25">
      <c r="A51" s="1"/>
      <c r="B51" s="112"/>
      <c r="C51" s="112"/>
      <c r="D51" s="1"/>
    </row>
    <row r="52" spans="1:6" x14ac:dyDescent="0.25">
      <c r="A52" s="1"/>
      <c r="B52" s="112"/>
      <c r="C52" s="112"/>
    </row>
    <row r="53" spans="1:6" x14ac:dyDescent="0.25">
      <c r="A53" s="1"/>
      <c r="B53" s="112"/>
      <c r="C53" s="112"/>
    </row>
    <row r="54" spans="1:6" x14ac:dyDescent="0.25">
      <c r="A54" s="1"/>
      <c r="B54" s="112"/>
      <c r="C54" s="112"/>
      <c r="E54" s="1"/>
      <c r="F54" s="1"/>
    </row>
    <row r="55" spans="1:6" x14ac:dyDescent="0.25">
      <c r="A55" s="1"/>
      <c r="B55" s="112"/>
      <c r="C55" s="112"/>
      <c r="E55" s="1"/>
      <c r="F55" s="1"/>
    </row>
    <row r="56" spans="1:6" x14ac:dyDescent="0.25">
      <c r="A56" s="1"/>
      <c r="B56" s="112"/>
      <c r="C56" s="112"/>
    </row>
    <row r="57" spans="1:6" x14ac:dyDescent="0.25">
      <c r="A57" s="1"/>
      <c r="B57" s="112"/>
      <c r="C57" s="112"/>
    </row>
    <row r="58" spans="1:6" x14ac:dyDescent="0.25">
      <c r="A58" s="1"/>
      <c r="B58" s="112"/>
      <c r="C58" s="112"/>
      <c r="D58" s="1"/>
    </row>
    <row r="59" spans="1:6" x14ac:dyDescent="0.25">
      <c r="A59" s="1"/>
      <c r="B59" s="112"/>
      <c r="C59" s="112"/>
      <c r="D59" s="1"/>
    </row>
    <row r="60" spans="1:6" x14ac:dyDescent="0.25">
      <c r="A60" s="1"/>
      <c r="B60" s="112"/>
      <c r="C60" s="112"/>
    </row>
    <row r="61" spans="1:6" x14ac:dyDescent="0.25">
      <c r="A61" s="1"/>
      <c r="B61" s="112"/>
      <c r="C61" s="112"/>
    </row>
    <row r="62" spans="1:6" x14ac:dyDescent="0.25">
      <c r="A62" s="1"/>
      <c r="B62" s="112"/>
      <c r="C62" s="112"/>
      <c r="E62" s="1"/>
      <c r="F62" s="1"/>
    </row>
    <row r="63" spans="1:6" x14ac:dyDescent="0.25">
      <c r="A63" s="1"/>
      <c r="B63" s="112"/>
      <c r="C63" s="112"/>
    </row>
    <row r="64" spans="1:6" x14ac:dyDescent="0.25">
      <c r="A64" s="1"/>
      <c r="B64" s="112"/>
      <c r="C64" s="112"/>
    </row>
    <row r="65" spans="1:6" x14ac:dyDescent="0.25">
      <c r="A65" s="1"/>
      <c r="B65" s="112"/>
      <c r="C65" s="112"/>
      <c r="D65" s="1"/>
    </row>
    <row r="66" spans="1:6" x14ac:dyDescent="0.25">
      <c r="A66" s="1"/>
      <c r="B66" s="112"/>
      <c r="C66" s="112"/>
    </row>
    <row r="67" spans="1:6" x14ac:dyDescent="0.25">
      <c r="A67" s="1"/>
      <c r="B67" s="112"/>
      <c r="C67" s="112"/>
    </row>
    <row r="68" spans="1:6" x14ac:dyDescent="0.25">
      <c r="A68" s="1"/>
      <c r="B68" s="112"/>
      <c r="C68" s="112"/>
    </row>
    <row r="69" spans="1:6" x14ac:dyDescent="0.25">
      <c r="A69" s="1"/>
      <c r="B69" s="112"/>
      <c r="C69" s="112"/>
    </row>
    <row r="70" spans="1:6" x14ac:dyDescent="0.25">
      <c r="A70" s="1"/>
      <c r="B70" s="112"/>
      <c r="C70" s="112"/>
    </row>
    <row r="71" spans="1:6" x14ac:dyDescent="0.25">
      <c r="A71" s="1"/>
      <c r="B71" s="112"/>
      <c r="C71" s="112"/>
      <c r="E71" s="1"/>
      <c r="F71" s="1"/>
    </row>
    <row r="72" spans="1:6" x14ac:dyDescent="0.25">
      <c r="A72" s="1"/>
      <c r="B72" s="112"/>
      <c r="C72" s="112"/>
      <c r="D72" s="1"/>
    </row>
    <row r="73" spans="1:6" x14ac:dyDescent="0.25">
      <c r="A73" s="1"/>
      <c r="B73" s="112"/>
      <c r="C73" s="112"/>
    </row>
    <row r="74" spans="1:6" x14ac:dyDescent="0.25">
      <c r="A74" s="1"/>
      <c r="B74" s="112"/>
      <c r="C74" s="112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Coletivas</vt:lpstr>
      <vt:lpstr>Aquaticos</vt:lpstr>
      <vt:lpstr>Nao_Aquaticos</vt:lpstr>
      <vt:lpstr>Vagas</vt:lpstr>
      <vt:lpstr>CLUBAL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Administrativo</dc:creator>
  <cp:lastModifiedBy>Administrativo</cp:lastModifiedBy>
  <dcterms:created xsi:type="dcterms:W3CDTF">2025-07-21T09:59:32Z</dcterms:created>
  <dcterms:modified xsi:type="dcterms:W3CDTF">2026-03-01T15:08:54Z</dcterms:modified>
</cp:coreProperties>
</file>